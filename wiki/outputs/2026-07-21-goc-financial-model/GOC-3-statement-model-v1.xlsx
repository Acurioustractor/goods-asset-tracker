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Balance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777777"/>
      <sz val="9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2" borderId="0" pivotButton="0" quotePrefix="0" xfId="0"/>
    <xf numFmtId="0" fontId="0" fillId="3" borderId="0" pivotButton="0" quotePrefix="0" xfId="0"/>
    <xf numFmtId="164" fontId="0" fillId="2" borderId="0" pivotButton="0" quotePrefix="0" xfId="0"/>
    <xf numFmtId="4" fontId="0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2" customWidth="1" min="5" max="5"/>
    <col width="70" customWidth="1" min="6" max="6"/>
  </cols>
  <sheetData>
    <row r="1">
      <c r="A1" s="1" t="inlineStr">
        <is>
          <t>GOC-only financial model, single input page (v1, 2026-07-21)</t>
        </is>
      </c>
    </row>
    <row r="2">
      <c r="A2" s="2" t="inlineStr">
        <is>
          <t>Entity: the Goods on Country carve-out of A Curious Tractor Pty Ltd t/a Goods. YELLOW cells are the only inputs; every statement calculates from here. GST excluded. Labels: Verified = invoice/signed doc · Workpaper = our math, checkable · Modelled = from verified inputs, not demonstrated · Target = not signed.</t>
        </is>
      </c>
    </row>
    <row r="4">
      <c r="A4" s="3" t="inlineStr">
        <is>
          <t>Input</t>
        </is>
      </c>
      <c r="B4" s="3" t="inlineStr">
        <is>
          <t>FY27</t>
        </is>
      </c>
      <c r="C4" s="3" t="inlineStr">
        <is>
          <t>FY28</t>
        </is>
      </c>
      <c r="D4" s="3" t="inlineStr">
        <is>
          <t>FY29</t>
        </is>
      </c>
      <c r="E4" s="3" t="inlineStr">
        <is>
          <t>Label</t>
        </is>
      </c>
      <c r="F4" s="3" t="inlineStr">
        <is>
          <t>Source</t>
        </is>
      </c>
    </row>
    <row r="5">
      <c r="A5" s="3" t="inlineStr">
        <is>
          <t>SALES</t>
        </is>
      </c>
    </row>
    <row r="6">
      <c r="A6" s="4" t="inlineStr">
        <is>
          <t>Bed price ($/bed)</t>
        </is>
      </c>
      <c r="B6" s="5" t="n">
        <v>750</v>
      </c>
      <c r="C6" s="6">
        <f>B6</f>
        <v/>
      </c>
      <c r="D6" s="6">
        <f>B6</f>
        <v/>
      </c>
      <c r="E6" t="inlineStr">
        <is>
          <t>Verified</t>
        </is>
      </c>
      <c r="F6" s="2" t="inlineStr">
        <is>
          <t>canon.ts price list; one price everywhere</t>
        </is>
      </c>
    </row>
    <row r="7">
      <c r="A7" s="4" t="inlineStr">
        <is>
          <t>Beds sold (units/yr)</t>
        </is>
      </c>
      <c r="B7" s="5" t="n">
        <v>200</v>
      </c>
      <c r="C7" s="5" t="n">
        <v>338</v>
      </c>
      <c r="D7" s="5" t="n">
        <v>500</v>
      </c>
      <c r="E7" t="inlineStr">
        <is>
          <t>Modelled</t>
        </is>
      </c>
      <c r="F7" s="2" t="inlineStr">
        <is>
          <t>ramp from verified ~120/yr run-rate (cost-story.ts:217) to ~338 break-even (engine) then growth toward ~1,000 capacity</t>
        </is>
      </c>
    </row>
    <row r="8">
      <c r="A8" s="4" t="inlineStr">
        <is>
          <t>Share of beds pressed in-house (%)</t>
        </is>
      </c>
      <c r="B8" s="7" t="n">
        <v>0.5</v>
      </c>
      <c r="C8" s="8" t="n">
        <v>1</v>
      </c>
      <c r="D8" s="8" t="n">
        <v>1</v>
      </c>
      <c r="E8" t="inlineStr">
        <is>
          <t>Modelled</t>
        </is>
      </c>
      <c r="F8" s="2" t="inlineStr">
        <is>
          <t>capability proven: Maningrida Stretch run of 40 pressed at farm (Ben ruling 2026-07-21, INV-0303); rate ramps with equipment completion</t>
        </is>
      </c>
    </row>
    <row r="9">
      <c r="A9" s="4" t="inlineStr">
        <is>
          <t>Washer revenue ($/yr)</t>
        </is>
      </c>
      <c r="B9" s="5" t="n">
        <v>0</v>
      </c>
      <c r="C9" s="5" t="n">
        <v>0</v>
      </c>
      <c r="D9" s="5" t="n">
        <v>0</v>
      </c>
      <c r="E9" t="inlineStr">
        <is>
          <t>Verified</t>
        </is>
      </c>
      <c r="F9" s="2" t="inlineStr">
        <is>
          <t>Pakkimjalki Kari is prototype, not for sale (CLAUDE.md products canon)</t>
        </is>
      </c>
    </row>
    <row r="10">
      <c r="A10" s="3" t="inlineStr">
        <is>
          <t>UNIT COSTS</t>
        </is>
      </c>
    </row>
    <row r="11">
      <c r="A11" s="4" t="inlineStr">
        <is>
          <t>Marginal cost per bed, buy-kit ($)</t>
        </is>
      </c>
      <c r="B11" s="8" t="n">
        <v>684.79</v>
      </c>
      <c r="C11" s="6">
        <f>B11</f>
        <v/>
      </c>
      <c r="D11" s="6">
        <f>B11</f>
        <v/>
      </c>
      <c r="E11" t="inlineStr">
        <is>
          <t>Verified (engine-locked)</t>
        </is>
      </c>
      <c r="F11" s="2" t="inlineStr">
        <is>
          <t>cost-story.ts:127 kit $344.05 + steel $27 + canvas $93.50 + hardware $5.24 + assembly $55.95 + freight ~$150</t>
        </is>
      </c>
    </row>
    <row r="12">
      <c r="A12" s="4" t="inlineStr">
        <is>
          <t>Marginal cost per bed, pressed ($)</t>
        </is>
      </c>
      <c r="B12" s="8" t="n">
        <v>425.74</v>
      </c>
      <c r="C12" s="6">
        <f>B12</f>
        <v/>
      </c>
      <c r="D12" s="6">
        <f>B12</f>
        <v/>
      </c>
      <c r="E12" t="inlineStr">
        <is>
          <t>Modelled</t>
        </is>
      </c>
      <c r="F12" s="2" t="inlineStr">
        <is>
          <t>cost-story.ts:166; NOT yet measured at production rate; the funded measured run converts it</t>
        </is>
      </c>
    </row>
    <row r="13">
      <c r="A13" s="3" t="inlineStr">
        <is>
          <t>FIXED BLOCK ($/yr)</t>
        </is>
      </c>
    </row>
    <row r="14">
      <c r="A14" s="4" t="inlineStr">
        <is>
          <t>Facility (Kirmos share)</t>
        </is>
      </c>
      <c r="B14" s="5" t="n">
        <v>27000</v>
      </c>
      <c r="C14" s="6">
        <f>B14*(1+$B$19)</f>
        <v/>
      </c>
      <c r="D14" s="6">
        <f>C14*(1+$B$19)</f>
        <v/>
      </c>
      <c r="E14" t="inlineStr">
        <is>
          <t>Workpaper</t>
        </is>
      </c>
      <c r="F14" s="2" t="inlineStr">
        <is>
          <t>cost-story.ts:195 fixed block</t>
        </is>
      </c>
    </row>
    <row r="15">
      <c r="A15" s="4" t="inlineStr">
        <is>
          <t>Founder production time (30d x $560)</t>
        </is>
      </c>
      <c r="B15" s="5" t="n">
        <v>16800</v>
      </c>
      <c r="C15" s="6">
        <f>B15*(1+$B$19)</f>
        <v/>
      </c>
      <c r="D15" s="6">
        <f>C15*(1+$B$19)</f>
        <v/>
      </c>
      <c r="E15" t="inlineStr">
        <is>
          <t>Workpaper</t>
        </is>
      </c>
      <c r="F15" s="2" t="inlineStr">
        <is>
          <t>engine.ts founder rate LOCKED $560/day</t>
        </is>
      </c>
    </row>
    <row r="16">
      <c r="A16" s="4" t="inlineStr">
        <is>
          <t>Admin</t>
        </is>
      </c>
      <c r="B16" s="5" t="n">
        <v>14700</v>
      </c>
      <c r="C16" s="6">
        <f>B16*(1+$B$19)</f>
        <v/>
      </c>
      <c r="D16" s="6">
        <f>C16*(1+$B$19)</f>
        <v/>
      </c>
      <c r="E16" t="inlineStr">
        <is>
          <t>Workpaper</t>
        </is>
      </c>
      <c r="F16" s="2" t="inlineStr">
        <is>
          <t>cost-story.ts fixed block</t>
        </is>
      </c>
    </row>
    <row r="17">
      <c r="A17" s="4" t="inlineStr">
        <is>
          <t>Field travel (relationship, fixed)</t>
        </is>
      </c>
      <c r="B17" s="5" t="n">
        <v>51000</v>
      </c>
      <c r="C17" s="6">
        <f>B17*(1+$B$19)</f>
        <v/>
      </c>
      <c r="D17" s="6">
        <f>C17*(1+$B$19)</f>
        <v/>
      </c>
      <c r="E17" t="inlineStr">
        <is>
          <t>Workpaper</t>
        </is>
      </c>
      <c r="F17" s="2" t="inlineStr">
        <is>
          <t>Ben ruling 2026-07-21: mostly fixed being-in-community time; delivery freight is in the per-bed line</t>
        </is>
      </c>
    </row>
    <row r="18">
      <c r="A18" s="4" t="inlineStr">
        <is>
          <t>(sum check: block ≈ $109.5K/yr)</t>
        </is>
      </c>
      <c r="B18" s="6">
        <f>SUM(B14:B17)</f>
        <v/>
      </c>
      <c r="C18" s="6">
        <f>SUM(C14:C17)</f>
        <v/>
      </c>
      <c r="D18" s="6">
        <f>SUM(D14:D17)</f>
        <v/>
      </c>
      <c r="E18" t="inlineStr">
        <is>
          <t>Workpaper</t>
        </is>
      </c>
      <c r="F18" s="2" t="inlineStr">
        <is>
          <t>cost-story.ts:195 ~$109,500</t>
        </is>
      </c>
    </row>
    <row r="19">
      <c r="A19" s="4" t="inlineStr">
        <is>
          <t>Fixed cost annual growth (%)</t>
        </is>
      </c>
      <c r="B19" s="7" t="n">
        <v>0.03</v>
      </c>
      <c r="E19" t="inlineStr">
        <is>
          <t>Modelled</t>
        </is>
      </c>
      <c r="F19" s="2" t="inlineStr">
        <is>
          <t>placeholder CPI-ish; Ben/Matt to set</t>
        </is>
      </c>
    </row>
    <row r="20">
      <c r="A20" s="3" t="inlineStr">
        <is>
          <t>EQUIPMENT</t>
        </is>
      </c>
    </row>
    <row r="21">
      <c r="A21" s="4" t="inlineStr">
        <is>
          <t>Equipment already invested ($, opening PPE)</t>
        </is>
      </c>
      <c r="B21" s="5" t="n">
        <v>110046</v>
      </c>
      <c r="E21" t="inlineStr">
        <is>
          <t>Verified</t>
        </is>
      </c>
      <c r="F21" s="2" t="inlineStr">
        <is>
          <t>canon.ts:250; ~$80K TFN + ~$20K ACT</t>
        </is>
      </c>
    </row>
    <row r="22">
      <c r="A22" s="4" t="inlineStr">
        <is>
          <t>New capex ($/yr)</t>
        </is>
      </c>
      <c r="B22" s="5" t="n">
        <v>60000</v>
      </c>
      <c r="C22" s="5" t="n">
        <v>20000</v>
      </c>
      <c r="D22" s="5" t="n">
        <v>0</v>
      </c>
      <c r="E22" t="inlineStr">
        <is>
          <t>Modelled</t>
        </is>
      </c>
      <c r="F22" s="2" t="inlineStr">
        <is>
          <t>within the $2-112K net remaining range (cost-story.ts:254); FY28 = contingency/moulds</t>
        </is>
      </c>
    </row>
    <row r="23">
      <c r="A23" s="4" t="inlineStr">
        <is>
          <t>Depreciation rate (straight line, %/yr)</t>
        </is>
      </c>
      <c r="B23" s="7" t="n">
        <v>0.1</v>
      </c>
      <c r="E23" t="inlineStr">
        <is>
          <t>Modelled</t>
        </is>
      </c>
      <c r="F23" s="2" t="inlineStr">
        <is>
          <t>10yr equipment life assumption; Matt to confirm policy</t>
        </is>
      </c>
    </row>
    <row r="24">
      <c r="A24" s="4" t="inlineStr">
        <is>
          <t>Equipment maintenance (% of gross PPE/yr)</t>
        </is>
      </c>
      <c r="B24" s="7" t="n">
        <v>0.04</v>
      </c>
      <c r="E24" t="inlineStr">
        <is>
          <t>Modelled</t>
        </is>
      </c>
      <c r="F24" s="2" t="inlineStr">
        <is>
          <t>cost-story.ts:279 3-5% band, midpoint</t>
        </is>
      </c>
    </row>
    <row r="25">
      <c r="A25" s="3" t="inlineStr">
        <is>
          <t>FUNDING (THE RAISE) — $0 SIGNED TODAY</t>
        </is>
      </c>
    </row>
    <row r="26">
      <c r="A26" s="4" t="inlineStr">
        <is>
          <t>Grant income: Snow R4/R5 ($)</t>
        </is>
      </c>
      <c r="B26" s="5" t="n">
        <v>100000</v>
      </c>
      <c r="C26" s="5" t="n">
        <v>0</v>
      </c>
      <c r="D26" s="5" t="n">
        <v>0</v>
      </c>
      <c r="E26" t="inlineStr">
        <is>
          <t>Target</t>
        </is>
      </c>
      <c r="F26" s="2" t="inlineStr">
        <is>
          <t>2026-07-03 stack; grant deed NOT signed</t>
        </is>
      </c>
    </row>
    <row r="27">
      <c r="A27" s="4" t="inlineStr">
        <is>
          <t>Grant income: Centrecorp ($)</t>
        </is>
      </c>
      <c r="B27" s="5" t="n">
        <v>75000</v>
      </c>
      <c r="C27" s="5" t="n">
        <v>0</v>
      </c>
      <c r="D27" s="5" t="n">
        <v>0</v>
      </c>
      <c r="E27" t="inlineStr">
        <is>
          <t>Target</t>
        </is>
      </c>
      <c r="F27" s="2" t="inlineStr">
        <is>
          <t>2026-07-03 stack; NOT signed</t>
        </is>
      </c>
    </row>
    <row r="28">
      <c r="A28" s="4" t="inlineStr">
        <is>
          <t>Grant income: QBE Stage 2 match ($)</t>
        </is>
      </c>
      <c r="B28" s="5" t="n">
        <v>400000</v>
      </c>
      <c r="C28" s="5" t="n">
        <v>0</v>
      </c>
      <c r="D28" s="5" t="n">
        <v>0</v>
      </c>
      <c r="E28" t="inlineStr">
        <is>
          <t>Target</t>
        </is>
      </c>
      <c r="F28" s="2" t="inlineStr">
        <is>
          <t>up to $400K, requires &gt;=1:1 SIGNED match by 31 Aug (04-qbe-pipeline.md); discretionary</t>
        </is>
      </c>
    </row>
    <row r="29">
      <c r="A29" s="4" t="inlineStr">
        <is>
          <t>Other grants/philanthropy ($)</t>
        </is>
      </c>
      <c r="B29" s="5" t="n">
        <v>0</v>
      </c>
      <c r="C29" s="5" t="n">
        <v>50000</v>
      </c>
      <c r="D29" s="5" t="n">
        <v>0</v>
      </c>
      <c r="E29" t="inlineStr">
        <is>
          <t>Target</t>
        </is>
      </c>
      <c r="F29" s="2" t="inlineStr">
        <is>
          <t>placeholder for continuing philanthropy taper; taper design = gifts end at break-even</t>
        </is>
      </c>
    </row>
    <row r="30">
      <c r="A30" s="4" t="inlineStr">
        <is>
          <t>SEFA loan drawn ($)</t>
        </is>
      </c>
      <c r="B30" s="5" t="n">
        <v>300000</v>
      </c>
      <c r="C30" s="5" t="n">
        <v>0</v>
      </c>
      <c r="D30" s="5" t="n">
        <v>0</v>
      </c>
      <c r="E30" t="inlineStr">
        <is>
          <t>Target</t>
        </is>
      </c>
      <c r="F30" s="2" t="inlineStr">
        <is>
          <t>repayable working-capital anchor, proposed, NOT signed</t>
        </is>
      </c>
    </row>
    <row r="31">
      <c r="A31" s="4" t="inlineStr">
        <is>
          <t>SEFA interest rate (%/yr)</t>
        </is>
      </c>
      <c r="B31" s="7" t="n">
        <v>0.065</v>
      </c>
      <c r="E31" t="inlineStr">
        <is>
          <t>Modelled</t>
        </is>
      </c>
      <c r="F31" s="2" t="inlineStr">
        <is>
          <t>concessional indicative; term sheet TBC</t>
        </is>
      </c>
    </row>
    <row r="32">
      <c r="A32" s="4" t="inlineStr">
        <is>
          <t>SEFA principal repayment ($/yr)</t>
        </is>
      </c>
      <c r="B32" s="5" t="n">
        <v>0</v>
      </c>
      <c r="C32" s="5" t="n">
        <v>100000</v>
      </c>
      <c r="D32" s="5" t="n">
        <v>100000</v>
      </c>
      <c r="E32" t="inlineStr">
        <is>
          <t>Modelled</t>
        </is>
      </c>
      <c r="F32" s="2" t="inlineStr">
        <is>
          <t>indicative 3yr amortisation from FY28; term sheet TBC</t>
        </is>
      </c>
    </row>
    <row r="33">
      <c r="A33" s="3" t="inlineStr">
        <is>
          <t>WORKING CAPITAL</t>
        </is>
      </c>
    </row>
    <row r="34">
      <c r="A34" s="4" t="inlineStr">
        <is>
          <t>Debtor days</t>
        </is>
      </c>
      <c r="B34" s="5" t="n">
        <v>60</v>
      </c>
      <c r="E34" t="inlineStr">
        <is>
          <t>Modelled</t>
        </is>
      </c>
      <c r="F34" s="2" t="inlineStr">
        <is>
          <t>B2B buyers pay slow (Rotary INV-0222 went 11 months overdue); 60d planning assumption</t>
        </is>
      </c>
    </row>
    <row r="35">
      <c r="A35" s="4" t="inlineStr">
        <is>
          <t>Creditor days</t>
        </is>
      </c>
      <c r="B35" s="5" t="n">
        <v>30</v>
      </c>
      <c r="E35" t="inlineStr">
        <is>
          <t>Modelled</t>
        </is>
      </c>
      <c r="F35" s="2" t="inlineStr">
        <is>
          <t>supplier terms assumption</t>
        </is>
      </c>
    </row>
    <row r="36">
      <c r="A36" s="4" t="inlineStr">
        <is>
          <t>Inventory days (of COGS)</t>
        </is>
      </c>
      <c r="B36" s="5" t="n">
        <v>30</v>
      </c>
      <c r="E36" t="inlineStr">
        <is>
          <t>Modelled</t>
        </is>
      </c>
      <c r="F36" s="2" t="inlineStr">
        <is>
          <t>materials bought ahead of builds</t>
        </is>
      </c>
    </row>
    <row r="37">
      <c r="A37" s="3" t="inlineStr">
        <is>
          <t>OPENING POSITION (Ben/accountant to set)</t>
        </is>
      </c>
    </row>
    <row r="38">
      <c r="A38" s="4" t="inlineStr">
        <is>
          <t>Opening cash ($)</t>
        </is>
      </c>
      <c r="B38" s="5" t="n">
        <v>50000</v>
      </c>
      <c r="E38" t="inlineStr">
        <is>
          <t>PLACEHOLDER</t>
        </is>
      </c>
      <c r="F38" s="2" t="inlineStr">
        <is>
          <t>set from bank; NOT a canon figure</t>
        </is>
      </c>
    </row>
    <row r="39">
      <c r="A39" s="4" t="inlineStr">
        <is>
          <t>Opening receivables ($)</t>
        </is>
      </c>
      <c r="B39" s="5" t="n">
        <v>143000</v>
      </c>
      <c r="E39" t="inlineStr">
        <is>
          <t>Verified</t>
        </is>
      </c>
      <c r="F39" s="2" t="inlineStr">
        <is>
          <t>canon.ts:92 AR = Rotary $82.5K + Homeland $44K + Regional Arts $16.5K</t>
        </is>
      </c>
    </row>
    <row r="40">
      <c r="A40" s="4" t="inlineStr">
        <is>
          <t>Tax rate on positive NPBT (%)</t>
        </is>
      </c>
      <c r="B40" s="7" t="n">
        <v>0.25</v>
      </c>
      <c r="E40" t="inlineStr">
        <is>
          <t>Modelled</t>
        </is>
      </c>
      <c r="F40" s="2" t="inlineStr">
        <is>
          <t>small business company rate; entity structure pre-Butterfly, Matt to confirm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P&amp;L — GOC carve-out (calculated; edit only the Assumptions page)</t>
        </is>
      </c>
    </row>
    <row r="3">
      <c r="B3" s="3" t="inlineStr">
        <is>
          <t>FY27</t>
        </is>
      </c>
      <c r="C3" s="3" t="inlineStr">
        <is>
          <t>FY28</t>
        </is>
      </c>
      <c r="D3" s="3" t="inlineStr">
        <is>
          <t>FY29</t>
        </is>
      </c>
    </row>
    <row r="5">
      <c r="A5" s="9" t="inlineStr">
        <is>
          <t>Bed revenue (beds x price)</t>
        </is>
      </c>
      <c r="B5" s="10">
        <f>Assumptions!B7*Assumptions!B6</f>
        <v/>
      </c>
      <c r="C5" s="10">
        <f>Assumptions!C7*Assumptions!B6</f>
        <v/>
      </c>
      <c r="D5" s="10">
        <f>Assumptions!D7*Assumptions!B6</f>
        <v/>
      </c>
    </row>
    <row r="6">
      <c r="A6" t="inlineStr">
        <is>
          <t>Blended marginal cost per bed</t>
        </is>
      </c>
      <c r="B6" s="11">
        <f>Assumptions!B8*Assumptions!B12+(1-Assumptions!B8)*Assumptions!B11</f>
        <v/>
      </c>
      <c r="C6" s="11">
        <f>Assumptions!C8*Assumptions!B12+(1-Assumptions!C8)*Assumptions!B11</f>
        <v/>
      </c>
      <c r="D6" s="11">
        <f>Assumptions!D8*Assumptions!B12+(1-Assumptions!D8)*Assumptions!B11</f>
        <v/>
      </c>
    </row>
    <row r="7">
      <c r="A7" t="inlineStr">
        <is>
          <t>COGS (beds x blended marginal)</t>
        </is>
      </c>
      <c r="B7" s="11">
        <f>-B7*Assumptions!B7</f>
        <v/>
      </c>
      <c r="C7" s="11">
        <f>-C7*Assumptions!C7</f>
        <v/>
      </c>
      <c r="D7" s="11">
        <f>-D7*Assumptions!D7</f>
        <v/>
      </c>
    </row>
    <row r="8">
      <c r="A8" s="9" t="inlineStr">
        <is>
          <t>Gross profit (contribution)</t>
        </is>
      </c>
      <c r="B8" s="10">
        <f>B5+B8</f>
        <v/>
      </c>
      <c r="C8" s="10">
        <f>C5+C8</f>
        <v/>
      </c>
      <c r="D8" s="10">
        <f>D5+D8</f>
        <v/>
      </c>
    </row>
    <row r="10">
      <c r="A10" t="inlineStr">
        <is>
          <t>Fixed block (facility, founder, admin, travel)</t>
        </is>
      </c>
      <c r="B10" s="11">
        <f>-Assumptions!B18</f>
        <v/>
      </c>
      <c r="C10" s="11">
        <f>-Assumptions!C18</f>
        <v/>
      </c>
      <c r="D10" s="11">
        <f>-Assumptions!D18</f>
        <v/>
      </c>
    </row>
    <row r="11">
      <c r="A11" t="inlineStr">
        <is>
          <t>Equipment maintenance</t>
        </is>
      </c>
      <c r="B11" s="11">
        <f>-Assumptions!B24*('Balance Sheet'!B10)</f>
        <v/>
      </c>
      <c r="C11" s="11">
        <f>-Assumptions!B24*('Balance Sheet'!C10)</f>
        <v/>
      </c>
      <c r="D11" s="11">
        <f>-Assumptions!B24*('Balance Sheet'!D10)</f>
        <v/>
      </c>
    </row>
    <row r="12">
      <c r="A12" s="9" t="inlineStr">
        <is>
          <t>EBITDA</t>
        </is>
      </c>
      <c r="B12" s="10">
        <f>B9+B11+B12</f>
        <v/>
      </c>
      <c r="C12" s="10">
        <f>C9+C11+C12</f>
        <v/>
      </c>
      <c r="D12" s="10">
        <f>D9+D11+D12</f>
        <v/>
      </c>
    </row>
    <row r="13">
      <c r="A13" t="inlineStr">
        <is>
          <t>Depreciation</t>
        </is>
      </c>
      <c r="B13" s="11">
        <f>-Assumptions!B23*'Balance Sheet'!B10</f>
        <v/>
      </c>
      <c r="C13" s="11">
        <f>-Assumptions!B23*'Balance Sheet'!C10</f>
        <v/>
      </c>
      <c r="D13" s="11">
        <f>-Assumptions!B23*'Balance Sheet'!D10</f>
        <v/>
      </c>
    </row>
    <row r="14">
      <c r="A14" t="inlineStr">
        <is>
          <t>EBIT</t>
        </is>
      </c>
      <c r="B14" s="11">
        <f>B13+B14</f>
        <v/>
      </c>
      <c r="C14" s="11">
        <f>C13+C14</f>
        <v/>
      </c>
      <c r="D14" s="11">
        <f>D13+D14</f>
        <v/>
      </c>
    </row>
    <row r="15">
      <c r="A15" t="inlineStr">
        <is>
          <t>Interest (SEFA)</t>
        </is>
      </c>
      <c r="B15" s="11">
        <f>-Assumptions!B31*'Balance Sheet'!B16</f>
        <v/>
      </c>
      <c r="C15" s="11">
        <f>-Assumptions!B31*'Balance Sheet'!C16</f>
        <v/>
      </c>
      <c r="D15" s="11">
        <f>-Assumptions!B31*'Balance Sheet'!D16</f>
        <v/>
      </c>
    </row>
    <row r="16">
      <c r="A16" s="9" t="inlineStr">
        <is>
          <t>Trading profit before grants and tax</t>
        </is>
      </c>
      <c r="B16" s="10">
        <f>B15+B16</f>
        <v/>
      </c>
      <c r="C16" s="10">
        <f>C15+C16</f>
        <v/>
      </c>
      <c r="D16" s="10">
        <f>D15+D16</f>
        <v/>
      </c>
    </row>
    <row r="18">
      <c r="A18" t="inlineStr">
        <is>
          <t>Grant income (Target: $0 signed today)</t>
        </is>
      </c>
      <c r="B18" s="11">
        <f>Assumptions!B26+Assumptions!B27+Assumptions!B28+Assumptions!B29</f>
        <v/>
      </c>
      <c r="C18" s="11">
        <f>Assumptions!C26+Assumptions!C27+Assumptions!C28+Assumptions!C29</f>
        <v/>
      </c>
      <c r="D18" s="11">
        <f>Assumptions!D26+Assumptions!D27+Assumptions!D28+Assumptions!D29</f>
        <v/>
      </c>
    </row>
    <row r="19">
      <c r="A19" s="9" t="inlineStr">
        <is>
          <t>Net profit before tax</t>
        </is>
      </c>
      <c r="B19" s="10">
        <f>B17+B19</f>
        <v/>
      </c>
      <c r="C19" s="10">
        <f>C17+C19</f>
        <v/>
      </c>
      <c r="D19" s="10">
        <f>D17+D19</f>
        <v/>
      </c>
    </row>
    <row r="20">
      <c r="A20" t="inlineStr">
        <is>
          <t>Tax (only if positive)</t>
        </is>
      </c>
      <c r="B20" s="11">
        <f>-MAX(B20,0)*Assumptions!B40</f>
        <v/>
      </c>
      <c r="C20" s="11">
        <f>-MAX(C20,0)*Assumptions!B40</f>
        <v/>
      </c>
      <c r="D20" s="11">
        <f>-MAX(D20,0)*Assumptions!B40</f>
        <v/>
      </c>
    </row>
    <row r="21">
      <c r="A21" s="9" t="inlineStr">
        <is>
          <t>NET PROFIT AFTER TAX</t>
        </is>
      </c>
      <c r="B21" s="10">
        <f>B20+B21</f>
        <v/>
      </c>
      <c r="C21" s="10">
        <f>C20+C21</f>
        <v/>
      </c>
      <c r="D21" s="10">
        <f>D20+D21</f>
        <v/>
      </c>
    </row>
    <row r="24">
      <c r="A24" s="2" t="inlineStr">
        <is>
          <t>Reference: FY26 actual Goods-only revenue $713,827 (accountant-signed carve-out, canon.ts:106; the ONLY external revenue figure) + $143,000 AR. FY26 included grant-funded delivery; this model separates trading from grants so the taper is visible.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Cash Flow — GOC carve-out (calculated; edit only the Assumptions page)</t>
        </is>
      </c>
    </row>
    <row r="3">
      <c r="B3" s="3" t="inlineStr">
        <is>
          <t>FY27</t>
        </is>
      </c>
      <c r="C3" s="3" t="inlineStr">
        <is>
          <t>FY28</t>
        </is>
      </c>
      <c r="D3" s="3" t="inlineStr">
        <is>
          <t>FY29</t>
        </is>
      </c>
    </row>
    <row r="5">
      <c r="A5" t="inlineStr">
        <is>
          <t>Net profit after tax</t>
        </is>
      </c>
      <c r="B5" s="11">
        <f>'P&amp;L'!B22</f>
        <v/>
      </c>
      <c r="C5" s="11">
        <f>'P&amp;L'!C22</f>
        <v/>
      </c>
      <c r="D5" s="11">
        <f>'P&amp;L'!D22</f>
        <v/>
      </c>
    </row>
    <row r="6">
      <c r="A6" t="inlineStr">
        <is>
          <t>Add back depreciation</t>
        </is>
      </c>
      <c r="B6" s="11">
        <f>-'P&amp;L'!B14</f>
        <v/>
      </c>
      <c r="C6" s="11">
        <f>-'P&amp;L'!C14</f>
        <v/>
      </c>
      <c r="D6" s="11">
        <f>-'P&amp;L'!D14</f>
        <v/>
      </c>
    </row>
    <row r="7">
      <c r="A7" t="inlineStr">
        <is>
          <t>(Increase) in receivables</t>
        </is>
      </c>
      <c r="B7" s="11">
        <f>-('Balance Sheet'!None7-Assumptions!B39)</f>
        <v/>
      </c>
      <c r="C7" s="11">
        <f>-('Balance Sheet'!C7-'Balance Sheet'!B7)</f>
        <v/>
      </c>
      <c r="D7" s="11">
        <f>-('Balance Sheet'!D7-'Balance Sheet'!C7)</f>
        <v/>
      </c>
    </row>
    <row r="8">
      <c r="A8" t="inlineStr">
        <is>
          <t>(Increase) in inventory</t>
        </is>
      </c>
      <c r="B8" s="11">
        <f>-('Balance Sheet'!B8-0)</f>
        <v/>
      </c>
      <c r="C8" s="11">
        <f>-('Balance Sheet'!C8-'Balance Sheet'!B8)</f>
        <v/>
      </c>
      <c r="D8" s="11">
        <f>-('Balance Sheet'!D8-'Balance Sheet'!C8)</f>
        <v/>
      </c>
    </row>
    <row r="9">
      <c r="A9" t="inlineStr">
        <is>
          <t>Increase in payables</t>
        </is>
      </c>
      <c r="B9" s="11">
        <f>'Balance Sheet'!B14-0</f>
        <v/>
      </c>
      <c r="C9" s="11">
        <f>'Balance Sheet'!C14-'Balance Sheet'!B14</f>
        <v/>
      </c>
      <c r="D9" s="11">
        <f>'Balance Sheet'!D14-'Balance Sheet'!C14</f>
        <v/>
      </c>
    </row>
    <row r="10">
      <c r="A10" s="9" t="inlineStr">
        <is>
          <t>Operating cash flow</t>
        </is>
      </c>
      <c r="B10" s="10">
        <f>SUM(B5:B9)</f>
        <v/>
      </c>
      <c r="C10" s="10">
        <f>SUM(C5:C9)</f>
        <v/>
      </c>
      <c r="D10" s="10">
        <f>SUM(D5:D9)</f>
        <v/>
      </c>
    </row>
    <row r="12">
      <c r="A12" t="inlineStr">
        <is>
          <t>Capex</t>
        </is>
      </c>
      <c r="B12" s="11">
        <f>-Assumptions!B22</f>
        <v/>
      </c>
      <c r="C12" s="11">
        <f>-Assumptions!C22</f>
        <v/>
      </c>
      <c r="D12" s="11">
        <f>-Assumptions!D22</f>
        <v/>
      </c>
    </row>
    <row r="13">
      <c r="A13" s="9" t="inlineStr">
        <is>
          <t>Investing cash flow</t>
        </is>
      </c>
      <c r="B13" s="10">
        <f>B12</f>
        <v/>
      </c>
      <c r="C13" s="10">
        <f>C12</f>
        <v/>
      </c>
      <c r="D13" s="10">
        <f>D12</f>
        <v/>
      </c>
    </row>
    <row r="15">
      <c r="A15" t="inlineStr">
        <is>
          <t>SEFA loan drawn</t>
        </is>
      </c>
      <c r="B15" s="11">
        <f>Assumptions!B30</f>
        <v/>
      </c>
      <c r="C15" s="11">
        <f>Assumptions!C30</f>
        <v/>
      </c>
      <c r="D15" s="11">
        <f>Assumptions!D30</f>
        <v/>
      </c>
    </row>
    <row r="16">
      <c r="A16" t="inlineStr">
        <is>
          <t>SEFA principal repaid</t>
        </is>
      </c>
      <c r="B16" s="11">
        <f>-Assumptions!B32</f>
        <v/>
      </c>
      <c r="C16" s="11">
        <f>-Assumptions!C32</f>
        <v/>
      </c>
      <c r="D16" s="11">
        <f>-Assumptions!D32</f>
        <v/>
      </c>
    </row>
    <row r="17">
      <c r="A17" s="9" t="inlineStr">
        <is>
          <t>Financing cash flow</t>
        </is>
      </c>
      <c r="B17" s="10">
        <f>B15+B16</f>
        <v/>
      </c>
      <c r="C17" s="10">
        <f>C15+C16</f>
        <v/>
      </c>
      <c r="D17" s="10">
        <f>D15+D16</f>
        <v/>
      </c>
    </row>
    <row r="19">
      <c r="A19" s="9" t="inlineStr">
        <is>
          <t>Net cash movement</t>
        </is>
      </c>
      <c r="B19" s="10">
        <f>B10+B13+B17</f>
        <v/>
      </c>
      <c r="C19" s="10">
        <f>C10+C13+C17</f>
        <v/>
      </c>
      <c r="D19" s="10">
        <f>D10+D13+D17</f>
        <v/>
      </c>
    </row>
    <row r="20">
      <c r="A20" t="inlineStr">
        <is>
          <t>Opening cash</t>
        </is>
      </c>
      <c r="B20" s="11">
        <f>Assumptions!B38</f>
        <v/>
      </c>
      <c r="C20" s="11">
        <f>B20</f>
        <v/>
      </c>
      <c r="D20" s="11">
        <f>C20</f>
        <v/>
      </c>
    </row>
    <row r="21">
      <c r="A21" s="9" t="inlineStr">
        <is>
          <t>CLOSING CASH</t>
        </is>
      </c>
      <c r="B21" s="10">
        <f>B19+B20</f>
        <v/>
      </c>
      <c r="C21" s="10">
        <f>C19+C20</f>
        <v/>
      </c>
      <c r="D21" s="10">
        <f>D19+D20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Balance Sheet — GOC carve-out (calculated; edit only the Assumptions page)</t>
        </is>
      </c>
    </row>
    <row r="3">
      <c r="B3" s="3" t="inlineStr">
        <is>
          <t>FY27</t>
        </is>
      </c>
      <c r="C3" s="3" t="inlineStr">
        <is>
          <t>FY28</t>
        </is>
      </c>
      <c r="D3" s="3" t="inlineStr">
        <is>
          <t>FY29</t>
        </is>
      </c>
    </row>
    <row r="5">
      <c r="A5" s="9" t="inlineStr">
        <is>
          <t>ASSETS</t>
        </is>
      </c>
      <c r="B5" s="10" t="inlineStr"/>
      <c r="C5" s="10" t="inlineStr"/>
      <c r="D5" s="10" t="inlineStr"/>
    </row>
    <row r="6">
      <c r="A6" t="inlineStr">
        <is>
          <t>Cash</t>
        </is>
      </c>
      <c r="B6" s="11">
        <f>'Cash Flow'!B21</f>
        <v/>
      </c>
      <c r="C6" s="11">
        <f>'Cash Flow'!C21</f>
        <v/>
      </c>
      <c r="D6" s="11">
        <f>'Cash Flow'!D21</f>
        <v/>
      </c>
    </row>
    <row r="7">
      <c r="A7" t="inlineStr">
        <is>
          <t>Receivables (revenue x debtor days/365)</t>
        </is>
      </c>
      <c r="B7" s="11">
        <f>'P&amp;L'!B5*Assumptions!B34/365</f>
        <v/>
      </c>
      <c r="C7" s="11">
        <f>'P&amp;L'!C5*Assumptions!B34/365</f>
        <v/>
      </c>
      <c r="D7" s="11">
        <f>'P&amp;L'!D5*Assumptions!B34/365</f>
        <v/>
      </c>
    </row>
    <row r="8">
      <c r="A8" t="inlineStr">
        <is>
          <t>Inventory (COGS x inventory days/365)</t>
        </is>
      </c>
      <c r="B8" s="11">
        <f>-'P&amp;L'!B8*Assumptions!B36/365</f>
        <v/>
      </c>
      <c r="C8" s="11">
        <f>-'P&amp;L'!C8*Assumptions!B36/365</f>
        <v/>
      </c>
      <c r="D8" s="11">
        <f>-'P&amp;L'!D8*Assumptions!B36/365</f>
        <v/>
      </c>
    </row>
    <row r="9">
      <c r="A9" t="inlineStr">
        <is>
          <t>PPE at cost (opening + cumulative capex)</t>
        </is>
      </c>
      <c r="B9" s="11">
        <f>Assumptions!B21+Assumptions!B22</f>
        <v/>
      </c>
      <c r="C9" s="11">
        <f>B9+Assumptions!C22</f>
        <v/>
      </c>
      <c r="D9" s="11">
        <f>C9+Assumptions!D22</f>
        <v/>
      </c>
    </row>
    <row r="10">
      <c r="A10" t="inlineStr">
        <is>
          <t>PPE gross (avg base for dep/maint)</t>
        </is>
      </c>
      <c r="B10" s="11">
        <f>B9</f>
        <v/>
      </c>
      <c r="C10" s="11">
        <f>C9</f>
        <v/>
      </c>
      <c r="D10" s="11">
        <f>D9</f>
        <v/>
      </c>
    </row>
    <row r="11">
      <c r="A11" t="inlineStr">
        <is>
          <t>Accumulated depreciation</t>
        </is>
      </c>
      <c r="B11" s="11">
        <f>-'P&amp;L'!B14*-1*0-'P&amp;L'!B14*-1</f>
        <v/>
      </c>
      <c r="C11" s="11">
        <f>B11-'P&amp;L'!C14</f>
        <v/>
      </c>
      <c r="D11" s="11">
        <f>C11-'P&amp;L'!D14</f>
        <v/>
      </c>
    </row>
    <row r="12">
      <c r="A12" s="9" t="inlineStr">
        <is>
          <t>TOTAL ASSETS</t>
        </is>
      </c>
      <c r="B12" s="10">
        <f>B6+B7+B8+B9+B11</f>
        <v/>
      </c>
      <c r="C12" s="10">
        <f>C6+C7+C8+C9+C11</f>
        <v/>
      </c>
      <c r="D12" s="10">
        <f>D6+D7+D8+D9+D11</f>
        <v/>
      </c>
    </row>
    <row r="14">
      <c r="A14" s="9" t="inlineStr">
        <is>
          <t>Payables (COGS x creditor days/365)</t>
        </is>
      </c>
      <c r="B14" s="10">
        <f>-'P&amp;L'!B8*Assumptions!B35/365</f>
        <v/>
      </c>
      <c r="C14" s="10">
        <f>-'P&amp;L'!C8*Assumptions!B35/365</f>
        <v/>
      </c>
      <c r="D14" s="10">
        <f>-'P&amp;L'!D8*Assumptions!B35/365</f>
        <v/>
      </c>
    </row>
    <row r="15">
      <c r="A15" t="inlineStr"/>
      <c r="B15" s="11" t="inlineStr"/>
      <c r="C15" s="11" t="inlineStr"/>
      <c r="D15" s="11" t="inlineStr"/>
    </row>
    <row r="16">
      <c r="A16" t="inlineStr">
        <is>
          <t>SEFA loan balance</t>
        </is>
      </c>
      <c r="B16" s="11">
        <f>Assumptions!B30-Assumptions!B32</f>
        <v/>
      </c>
      <c r="C16" s="11">
        <f>B16+Assumptions!C30-Assumptions!C32</f>
        <v/>
      </c>
      <c r="D16" s="11">
        <f>C16+Assumptions!D30-Assumptions!D32</f>
        <v/>
      </c>
    </row>
    <row r="17">
      <c r="A17" s="9" t="inlineStr">
        <is>
          <t>TOTAL LIABILITIES</t>
        </is>
      </c>
      <c r="B17" s="10">
        <f>B14+B16</f>
        <v/>
      </c>
      <c r="C17" s="10">
        <f>C14+C16</f>
        <v/>
      </c>
      <c r="D17" s="10">
        <f>D14+D16</f>
        <v/>
      </c>
    </row>
    <row r="19">
      <c r="A19" s="9" t="inlineStr">
        <is>
          <t>EQUITY</t>
        </is>
      </c>
      <c r="B19" s="10" t="inlineStr"/>
      <c r="C19" s="10" t="inlineStr"/>
      <c r="D19" s="10" t="inlineStr"/>
    </row>
    <row r="20">
      <c r="A20" t="inlineStr">
        <is>
          <t>Opening funds employed (cash + AR + PPE)</t>
        </is>
      </c>
      <c r="B20" s="11">
        <f>Assumptions!B38+Assumptions!B39+Assumptions!B21</f>
        <v/>
      </c>
      <c r="C20" s="11">
        <f>B20</f>
        <v/>
      </c>
      <c r="D20" s="11">
        <f>C20</f>
        <v/>
      </c>
    </row>
    <row r="21">
      <c r="A21" t="inlineStr">
        <is>
          <t>Cumulative retained profit</t>
        </is>
      </c>
      <c r="B21" s="11">
        <f>'P&amp;L'!B22</f>
        <v/>
      </c>
      <c r="C21" s="11">
        <f>B21+'P&amp;L'!C22</f>
        <v/>
      </c>
      <c r="D21" s="11">
        <f>C21+'P&amp;L'!D22</f>
        <v/>
      </c>
    </row>
    <row r="22">
      <c r="A22" s="9" t="inlineStr">
        <is>
          <t>TOTAL EQUITY</t>
        </is>
      </c>
      <c r="B22" s="10">
        <f>B20+B21</f>
        <v/>
      </c>
      <c r="C22" s="10">
        <f>C20+C21</f>
        <v/>
      </c>
      <c r="D22" s="10">
        <f>D20+D21</f>
        <v/>
      </c>
    </row>
    <row r="24">
      <c r="A24" s="9" t="inlineStr">
        <is>
          <t>CHECK (assets - liabilities - equity = 0)</t>
        </is>
      </c>
      <c r="B24" s="10">
        <f>B12-B17-B22</f>
        <v/>
      </c>
      <c r="C24" s="10">
        <f>C12-C17-C22</f>
        <v/>
      </c>
      <c r="D24" s="10">
        <f>D12-D17-D22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2026-07-21T09:12:53Z</dcterms:created>
  <dcterms:modified xmlns:dcterms="http://purl.org/dc/terms/" xmlns:xsi="http://www.w3.org/2001/XMLSchema-instance" xsi:type="dcterms:W3CDTF">2026-07-21T09:12:53Z</dcterms:modified>
</cp:coreProperties>
</file>