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Assumptions" sheetId="1" state="visible" r:id="rId1"/>
    <sheet xmlns:r="http://schemas.openxmlformats.org/officeDocument/2006/relationships" name="P&amp;L (monthly)" sheetId="2" state="visible" r:id="rId2"/>
    <sheet xmlns:r="http://schemas.openxmlformats.org/officeDocument/2006/relationships" name="Balance Sheet &amp; WC" sheetId="3" state="visible" r:id="rId3"/>
    <sheet xmlns:r="http://schemas.openxmlformats.org/officeDocument/2006/relationships" name="Cashflow 36mo" sheetId="4" state="visible" r:id="rId4"/>
    <sheet xmlns:r="http://schemas.openxmlformats.org/officeDocument/2006/relationships" name="Cost Ladder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Founder Inputs to Close" sheetId="7" state="visible" r:id="rId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0;[Red]-#,##0.00"/>
    <numFmt numFmtId="166" formatCode="0.0%"/>
    <numFmt numFmtId="167" formatCode="0.0&quot;x&quot;"/>
  </numFmts>
  <fonts count="10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55555"/>
      <sz val="9"/>
    </font>
    <font>
      <b val="1"/>
      <color rgb="001F3A5F"/>
      <sz val="12"/>
    </font>
    <font>
      <b val="1"/>
      <color rgb="00BF8F00"/>
      <sz val="12"/>
    </font>
    <font>
      <b val="1"/>
      <color rgb="00FFFFFF"/>
      <sz val="11"/>
    </font>
    <font>
      <b val="1"/>
    </font>
    <font>
      <b val="1"/>
      <color rgb="001F3A5F"/>
    </font>
    <font>
      <b val="1"/>
      <color rgb="00FFFFFF"/>
    </font>
    <font>
      <b val="1"/>
      <color rgb="001F3A5F"/>
      <sz val="11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" fontId="6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8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9" fillId="3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3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Goods on Country — 3-Statement Financial Model v0.2</t>
        </is>
      </c>
    </row>
    <row r="2">
      <c r="A2" s="2" t="inlineStr">
        <is>
          <t>QBE Catalysing Impact, Area 04 (Financial Management) P0 deliverable. v0.2 applies a live Xero mirror cross-check (2026-05-29). Workpaper — accountant sign-off still required.</t>
        </is>
      </c>
    </row>
    <row r="3" ht="118" customHeight="1">
      <c r="A3" s="43" t="inlineStr">
        <is>
          <t>PROVENANCE BANNER — v0.2 corrections VERIFIED via live Xero mirror cross-check 2026-05-29 (ACT-infra xero_invoices/xero_transactions, synced 02:33): (1) revenue $732,210.79 billed / $649,710.79 received / $82,500 Rotary AR genuinely owed (no matching RECEIVE txn). (2) ALL ACT-GD bank spend made from ACT business accounts (NAB Visa ACT $177,633 + ACT Everyday $145,473 = $323,106); $0 from personal → NO director loan. (3) AP ≈ $0 owed — the ~$124,878 AUTHORISED ACCPAY bills are a Xero payment-MATCHING gap (paid from ACT accounts, never applied to the bill), NOT debt / NOT a working-capital squeeze. (4) Expenses on a SINGLE CASH BASIS = $323,106 bank spend (less $13,980 1300 Washer reclass to ACT-FM = $309,126 Goods cash out). Carla $11,180 'duplicate' is an accrual phantom (no cash).</t>
        </is>
      </c>
    </row>
    <row r="4">
      <c r="A4" s="46" t="inlineStr">
        <is>
          <t>FOUNDER INPUTS LOCKED 2026-05-29 (Ben): day-rate $560/day · FTE 150 days/yr (30 production / 50 fundraising / 25 commercialisation / 45 governance) → founder cost $84,000/yr; production share $16,800/yr is the ONLY part in the bed fixed block. Opening cash @ 1 May 2026 = $50,000 WORKING figure pending the ACT-accounts carve-out (separate finance chat).</t>
        </is>
      </c>
    </row>
    <row r="5" ht="30" customHeight="1">
      <c r="A5" s="3" t="inlineStr">
        <is>
          <t>READ THIS FIRST</t>
        </is>
      </c>
    </row>
    <row r="6" ht="30" customHeight="1">
      <c r="A6" s="4" t="inlineStr">
        <is>
          <t>•  This workbook consolidates the May-12 financial-model trail (Day 2/3/6/8/9), the v6 bed cost model (2026-05-29), and the Area 04 review into one founder/accountant-ready pack.</t>
        </is>
      </c>
    </row>
    <row r="7" ht="30" customHeight="1">
      <c r="A7" s="4" t="inlineStr">
        <is>
          <t>•  It is a v0.2 WORKPAPER. Revenue + receipts are VERIFIED off the live Xero mirror (2026-05-29 02:33). Expenses are now stated on a SINGLE CASH BASIS (ACT-GD bank spend), not bill+bank (which double-counted).</t>
        </is>
      </c>
    </row>
    <row r="8" ht="30" customHeight="1">
      <c r="A8" s="4" t="inlineStr">
        <is>
          <t>•  Every figure is provenance-labelled: VERIFIED (queried source), MODELLED (forecast/assumption), TARGET (future intent), TO CONFIRM (gap — scaffolded, not fabricated).</t>
        </is>
      </c>
    </row>
    <row r="9" ht="30" customHeight="1">
      <c r="A9" s="4" t="inlineStr">
        <is>
          <t>•  THREE LIVE DIAL cells (yellow) gate the model: Opening cash @ 1 May 2026 (now framed as the ACT-accounts carve-out), founder day-rate, founder production-days. The cashflow trough recomputes live off the opening-cash dial.</t>
        </is>
      </c>
    </row>
    <row r="10">
      <c r="A10" s="4" t="inlineStr">
        <is>
          <t>•  Where Area 04 lists a gap (inventory, GST/BAS finalisation, R&amp;D refund timing, full carve-out), the row is scaffolded TO CONFIRM — value is never fabricated. No director loan exists (verified: $0 personal spend).</t>
        </is>
      </c>
    </row>
    <row r="12">
      <c r="A12" s="5" t="inlineStr">
        <is>
          <t>LIVE DIALS  (yellow = founder-confirm; these gate the model)</t>
        </is>
      </c>
    </row>
    <row r="13" ht="42" customHeight="1">
      <c r="A13" s="6" t="inlineStr">
        <is>
          <t>Dial</t>
        </is>
      </c>
      <c r="B13" s="6" t="inlineStr">
        <is>
          <t>Value</t>
        </is>
      </c>
      <c r="C13" s="6" t="inlineStr">
        <is>
          <t>Unit</t>
        </is>
      </c>
      <c r="D13" s="6" t="inlineStr">
        <is>
          <t>Default / band</t>
        </is>
      </c>
      <c r="E13" s="6" t="inlineStr">
        <is>
          <t>Status</t>
        </is>
      </c>
      <c r="F13" s="6" t="inlineStr">
        <is>
          <t>Note</t>
        </is>
      </c>
    </row>
    <row r="14" ht="42" customHeight="1">
      <c r="A14" s="7" t="inlineStr">
        <is>
          <t>Opening cash @ 1 May 2026 (ACT-accounts carve-out)</t>
        </is>
      </c>
      <c r="B14" s="8" t="n">
        <v>50000</v>
      </c>
      <c r="C14" s="9" t="inlineStr">
        <is>
          <t>AUD</t>
        </is>
      </c>
      <c r="D14" s="10" t="inlineStr">
        <is>
          <t>$50,000 WORKING figure</t>
        </is>
      </c>
      <c r="E14" s="11" t="inlineStr">
        <is>
          <t>WORKING — pending ACT-accounts carve-out (finance chat)</t>
        </is>
      </c>
      <c r="F14" s="12" t="inlineStr">
        <is>
          <t>WORKING figure, HELD at $50,000. Real number = balance of the ACT business accounts (NAB Visa ACT + ACT Everyday) attributable to Goods at 1 May 2026 — shared accounts, needs a carve-out, deferred to a separate finance chat. The carve-out re-bases the entire cashflow trough.</t>
        </is>
      </c>
    </row>
    <row r="15" ht="42" customHeight="1">
      <c r="A15" s="7" t="inlineStr">
        <is>
          <t>Founder day-rate</t>
        </is>
      </c>
      <c r="B15" s="8" t="n">
        <v>560</v>
      </c>
      <c r="C15" s="9" t="inlineStr">
        <is>
          <t>AUD/day</t>
        </is>
      </c>
      <c r="D15" s="10" t="inlineStr">
        <is>
          <t>$560/day (LOCKED; was band $560–$1,000)</t>
        </is>
      </c>
      <c r="E15" s="11" t="inlineStr">
        <is>
          <t>LOCKED 2026-05-29</t>
        </is>
      </c>
      <c r="F15" s="12" t="inlineStr">
        <is>
          <t>LOCKED 2026-05-29 (Ben). $560/day = $140,000/yr at 250 days (Day-3 fair-market basis). Supersedes the $560–$1,000 band (v6 cost model had used $1,000/day). Drives the founder-time P&amp;L line, annual fixed block + breakeven. Dial stays interactive for sensitivity.</t>
        </is>
      </c>
    </row>
    <row r="16">
      <c r="A16" s="7" t="inlineStr">
        <is>
          <t>Founder production days/yr (of 150 total)</t>
        </is>
      </c>
      <c r="B16" s="13" t="n">
        <v>30</v>
      </c>
      <c r="C16" s="9" t="inlineStr">
        <is>
          <t>days/yr</t>
        </is>
      </c>
      <c r="D16" s="10" t="inlineStr">
        <is>
          <t>30 of 150 (LOCKED; working split 30 prod / 50 fundraising / 25 commercialisation / 45 governance)</t>
        </is>
      </c>
      <c r="E16" s="11" t="inlineStr">
        <is>
          <t>LOCKED 2026-05-29 (working split, adjustable)</t>
        </is>
      </c>
      <c r="F16" s="12" t="inlineStr">
        <is>
          <t>LOCKED 2026-05-29 (Ben), working split adjustable. 150 founder days/yr total → founder cost 150×$560 = $84,000/yr. ONLY the 30 production days touch unit cost ($16,800/yr in the bed fixed block). The other 120 days (50 fundraising / 25 commercialisation / 45 governance) = $67,200/yr are cost-of-capital + customer-acquisition + ACT-wide — NOT per-bed cost.</t>
        </is>
      </c>
    </row>
    <row r="18" ht="28" customHeight="1">
      <c r="A18" s="3" t="inlineStr">
        <is>
          <t>PROVENANCE KEY</t>
        </is>
      </c>
    </row>
    <row r="19" ht="28" customHeight="1">
      <c r="A19" s="14" t="inlineStr">
        <is>
          <t>VERIFIED</t>
        </is>
      </c>
      <c r="B19" s="12" t="inlineStr">
        <is>
          <t>Queried directly from a named source (ACT-GD Xero rows, supplier invoices, shop price). Usable externally with citation + founder/accountant sign-off.</t>
        </is>
      </c>
      <c r="C19" s="15" t="n"/>
      <c r="D19" s="15" t="n"/>
      <c r="E19" s="15" t="n"/>
      <c r="F19" s="15" t="n"/>
      <c r="G19" s="16" t="n"/>
    </row>
    <row r="20" ht="28" customHeight="1">
      <c r="A20" s="17" t="inlineStr">
        <is>
          <t>MODELLED</t>
        </is>
      </c>
      <c r="B20" s="12" t="inlineStr">
        <is>
          <t>Forecast or assumption (founder-time scenarios, 36-mo cashflow, unit cost at scale, capital close timing). Usable only as forecast.</t>
        </is>
      </c>
      <c r="C20" s="15" t="n"/>
      <c r="D20" s="15" t="n"/>
      <c r="E20" s="15" t="n"/>
      <c r="F20" s="15" t="n"/>
      <c r="G20" s="16" t="n"/>
    </row>
    <row r="21" ht="28" customHeight="1">
      <c r="A21" s="18" t="inlineStr">
        <is>
          <t>TARGET</t>
        </is>
      </c>
      <c r="B21" s="12" t="inlineStr">
        <is>
          <t>Future operating intent (factory cost, 6-mo buffer, accountant-reviewed pack).</t>
        </is>
      </c>
      <c r="C21" s="15" t="n"/>
      <c r="D21" s="15" t="n"/>
      <c r="E21" s="15" t="n"/>
      <c r="F21" s="15" t="n"/>
      <c r="G21" s="16" t="n"/>
    </row>
    <row r="22">
      <c r="A22" s="19" t="inlineStr">
        <is>
          <t>TO CONFIRM</t>
        </is>
      </c>
      <c r="B22" s="12" t="inlineStr">
        <is>
          <t>Area-04 gap. Row scaffolded, value NOT fabricated. Must be closed before the model is 'closed'.</t>
        </is>
      </c>
      <c r="C22" s="15" t="n"/>
      <c r="D22" s="15" t="n"/>
      <c r="E22" s="15" t="n"/>
      <c r="F22" s="15" t="n"/>
      <c r="G22" s="16" t="n"/>
    </row>
    <row r="24">
      <c r="A24" s="3" t="inlineStr">
        <is>
          <t>KEY ANCHOR FIGURES (cited)</t>
        </is>
      </c>
    </row>
    <row r="25" ht="24" customHeight="1">
      <c r="A25" s="6" t="inlineStr">
        <is>
          <t>Metric</t>
        </is>
      </c>
      <c r="B25" s="6" t="inlineStr">
        <is>
          <t>Value</t>
        </is>
      </c>
      <c r="C25" s="6" t="inlineStr">
        <is>
          <t>Status</t>
        </is>
      </c>
      <c r="D25" s="6" t="inlineStr">
        <is>
          <t>Source</t>
        </is>
      </c>
    </row>
    <row r="26" ht="24" customHeight="1">
      <c r="A26" s="12" t="inlineStr">
        <is>
          <t>Revenue billed (ACT-GD ACCREC, live 2026-05-29 pull)</t>
        </is>
      </c>
      <c r="B26" s="20" t="n">
        <v>732210.79</v>
      </c>
      <c r="C26" s="21" t="inlineStr">
        <is>
          <t>VERIFIED</t>
        </is>
      </c>
      <c r="D26" s="12" t="inlineStr">
        <is>
          <t>Live Xero mirror; project_code=ACT-GD</t>
        </is>
      </c>
    </row>
    <row r="27" ht="24" customHeight="1">
      <c r="A27" s="12" t="inlineStr">
        <is>
          <t>Revenue received (16 PAID invoices)</t>
        </is>
      </c>
      <c r="B27" s="20" t="n">
        <v>649710.79</v>
      </c>
      <c r="C27" s="21" t="inlineStr">
        <is>
          <t>VERIFIED</t>
        </is>
      </c>
      <c r="D27" s="12" t="inlineStr">
        <is>
          <t>Live Xero mirror; matched RECEIVE txns</t>
        </is>
      </c>
    </row>
    <row r="28" ht="24" customHeight="1">
      <c r="A28" s="12" t="inlineStr">
        <is>
          <t>Accounts receivable owed (Rotary INV-0222)</t>
        </is>
      </c>
      <c r="B28" s="20" t="n">
        <v>82500</v>
      </c>
      <c r="C28" s="21" t="inlineStr">
        <is>
          <t>VERIFIED</t>
        </is>
      </c>
      <c r="D28" s="12" t="inlineStr">
        <is>
          <t>Genuinely owed — NO matching RECEIVE txn exists</t>
        </is>
      </c>
    </row>
    <row r="29" ht="24" customHeight="1">
      <c r="A29" s="12" t="inlineStr">
        <is>
          <t>Accounts payable genuinely owed</t>
        </is>
      </c>
      <c r="B29" s="20" t="n">
        <v>0</v>
      </c>
      <c r="C29" s="21" t="inlineStr">
        <is>
          <t>VERIFIED</t>
        </is>
      </c>
      <c r="D29" s="12" t="inlineStr">
        <is>
          <t>~$124,878 AUTHORISED bills = payment-MATCHING gap, not debt</t>
        </is>
      </c>
    </row>
    <row r="30" ht="24" customHeight="1">
      <c r="A30" s="12" t="inlineStr">
        <is>
          <t>Expenses — single cash basis (total ACT-GD bank spend)</t>
        </is>
      </c>
      <c r="B30" s="20" t="n">
        <v>323106</v>
      </c>
      <c r="C30" s="21" t="inlineStr">
        <is>
          <t>VERIFIED</t>
        </is>
      </c>
      <c r="D30" s="12" t="inlineStr">
        <is>
          <t>NAB Visa ACT $177,633 + ACT Everyday $145,473</t>
        </is>
      </c>
    </row>
    <row r="31" ht="24" customHeight="1">
      <c r="A31" s="12" t="inlineStr">
        <is>
          <t>Goods cash out (after 1300 Washer reclass to ACT-FM −$13,980)</t>
        </is>
      </c>
      <c r="B31" s="20" t="n">
        <v>309126</v>
      </c>
      <c r="C31" s="21" t="inlineStr">
        <is>
          <t>VERIFIED</t>
        </is>
      </c>
      <c r="D31" s="12" t="inlineStr">
        <is>
          <t>$323,106 − $13,980 washing machine (belongs ACT-FM)</t>
        </is>
      </c>
    </row>
    <row r="32" ht="24" customHeight="1">
      <c r="A32" s="12" t="inlineStr">
        <is>
          <t>Capex within cash spend (facility $100K + Carbatec tooling $10,046)</t>
        </is>
      </c>
      <c r="B32" s="20" t="n">
        <v>110046</v>
      </c>
      <c r="C32" s="21" t="inlineStr">
        <is>
          <t>VERIFIED</t>
        </is>
      </c>
      <c r="D32" s="12" t="inlineStr">
        <is>
          <t>opex/capex split inside cash spend is an accountant item</t>
        </is>
      </c>
    </row>
    <row r="33" ht="24" customHeight="1">
      <c r="A33" s="12" t="inlineStr">
        <is>
          <t>GST net payable (rough; accountant to finalise BAS)</t>
        </is>
      </c>
      <c r="B33" s="20" t="n">
        <v>29657</v>
      </c>
      <c r="C33" s="22" t="inlineStr">
        <is>
          <t>MODELLED</t>
        </is>
      </c>
      <c r="D33" s="12" t="inlineStr">
        <is>
          <t>output GST $62,019 − input GST $32,362</t>
        </is>
      </c>
    </row>
    <row r="34" ht="24" customHeight="1">
      <c r="A34" s="12" t="inlineStr">
        <is>
          <t>Website price per bed</t>
        </is>
      </c>
      <c r="B34" s="20" t="n">
        <v>750</v>
      </c>
      <c r="C34" s="21" t="inlineStr">
        <is>
          <t>VERIFIED</t>
        </is>
      </c>
      <c r="D34" s="12" t="inlineStr">
        <is>
          <t>shop stretch-bed-single</t>
        </is>
      </c>
    </row>
    <row r="35" ht="24" customHeight="1">
      <c r="A35" s="12" t="inlineStr">
        <is>
          <t>Marginal cost / bed (Defy-kit path today)</t>
        </is>
      </c>
      <c r="B35" s="20" t="n">
        <v>684.79</v>
      </c>
      <c r="C35" s="22" t="inlineStr">
        <is>
          <t>MODELLED</t>
        </is>
      </c>
      <c r="D35" s="12" t="inlineStr">
        <is>
          <t>v6 cost model honest_marginal_cost</t>
        </is>
      </c>
    </row>
    <row r="36" ht="24" customHeight="1">
      <c r="A36" s="12" t="inlineStr">
        <is>
          <t>Marginal cost / bed (factory path future)</t>
        </is>
      </c>
      <c r="B36" s="20" t="n">
        <v>425.74</v>
      </c>
      <c r="C36" s="22" t="inlineStr">
        <is>
          <t>MODELLED</t>
        </is>
      </c>
      <c r="D36" s="12" t="inlineStr">
        <is>
          <t>v6 cost model</t>
        </is>
      </c>
    </row>
    <row r="37" ht="24" customHeight="1">
      <c r="A37" s="12" t="inlineStr">
        <is>
          <t>R&amp;D Tax Incentive — modelled refund</t>
        </is>
      </c>
      <c r="B37" s="20" t="n">
        <v>80000</v>
      </c>
      <c r="C37" s="22" t="inlineStr">
        <is>
          <t>MODELLED</t>
        </is>
      </c>
      <c r="D37" s="12" t="inlineStr">
        <is>
          <t>~$80K/yr; eligibility structural, treatment TBC by accountant</t>
        </is>
      </c>
    </row>
    <row r="38">
      <c r="A38" s="12" t="inlineStr">
        <is>
          <t>Idiot index — HDPE kit (current $344 vs $40 raw floor)</t>
        </is>
      </c>
      <c r="B38" s="23" t="n">
        <v>8.6</v>
      </c>
      <c r="C38" s="21" t="inlineStr">
        <is>
          <t>VERIFIED</t>
        </is>
      </c>
      <c r="D38" s="12" t="inlineStr">
        <is>
          <t>v6 idiot_index; biggest lever</t>
        </is>
      </c>
    </row>
    <row r="41">
      <c r="A41" s="3" t="inlineStr">
        <is>
          <t>TAB MAP</t>
        </is>
      </c>
    </row>
    <row r="42" ht="26" customHeight="1">
      <c r="A42" s="6" t="inlineStr">
        <is>
          <t>Tab</t>
        </is>
      </c>
      <c r="B42" s="6" t="inlineStr">
        <is>
          <t>What it holds</t>
        </is>
      </c>
      <c r="C42" s="15" t="n"/>
      <c r="D42" s="15" t="n"/>
      <c r="E42" s="15" t="n"/>
      <c r="F42" s="15" t="n"/>
      <c r="G42" s="16" t="n"/>
    </row>
    <row r="43" ht="26" customHeight="1">
      <c r="A43" s="7" t="inlineStr">
        <is>
          <t>P&amp;L (monthly)</t>
        </is>
      </c>
      <c r="B43" s="12" t="inlineStr">
        <is>
          <t>Revenue + expenses, Day 2/3 basis. FY rollup + founder-time sensitivity (rate-dial driven).</t>
        </is>
      </c>
      <c r="C43" s="15" t="n"/>
      <c r="D43" s="15" t="n"/>
      <c r="E43" s="15" t="n"/>
      <c r="F43" s="15" t="n"/>
      <c r="G43" s="16" t="n"/>
    </row>
    <row r="44" ht="26" customHeight="1">
      <c r="A44" s="7" t="inlineStr">
        <is>
          <t>Balance Sheet &amp; WC</t>
        </is>
      </c>
      <c r="B44" s="12" t="inlineStr">
        <is>
          <t>Working-capital scaffold: known receivables/payables/capex + flagged gaps (inventory, AR/AP ageing, GST, R&amp;D).</t>
        </is>
      </c>
      <c r="C44" s="15" t="n"/>
      <c r="D44" s="15" t="n"/>
      <c r="E44" s="15" t="n"/>
      <c r="F44" s="15" t="n"/>
      <c r="G44" s="16" t="n"/>
    </row>
    <row r="45" ht="26" customHeight="1">
      <c r="A45" s="7" t="inlineStr">
        <is>
          <t>Cashflow 36mo</t>
        </is>
      </c>
      <c r="B45" s="12" t="inlineStr">
        <is>
          <t>May-26→Apr-29 month-by-month. Trough is FORMULA-DRIVEN off the opening-cash dial. Capital injections mapped.</t>
        </is>
      </c>
      <c r="C45" s="15" t="n"/>
      <c r="D45" s="15" t="n"/>
      <c r="E45" s="15" t="n"/>
      <c r="F45" s="15" t="n"/>
      <c r="G45" s="16" t="n"/>
    </row>
    <row r="46" ht="26" customHeight="1">
      <c r="A46" s="7" t="inlineStr">
        <is>
          <t>Cost Ladder</t>
        </is>
      </c>
      <c r="B46" s="12" t="inlineStr">
        <is>
          <t>v6 marginal vs fixed, breakeven, idiot index. Founder-time block driven by the day-rate dial.</t>
        </is>
      </c>
      <c r="C46" s="15" t="n"/>
      <c r="D46" s="15" t="n"/>
      <c r="E46" s="15" t="n"/>
      <c r="F46" s="15" t="n"/>
      <c r="G46" s="16" t="n"/>
    </row>
    <row r="47" ht="26" customHeight="1">
      <c r="A47" s="7" t="inlineStr">
        <is>
          <t>Scenarios</t>
        </is>
      </c>
      <c r="B47" s="12" t="inlineStr">
        <is>
          <t>Base / Upside / Downside summary (Day 9).</t>
        </is>
      </c>
      <c r="C47" s="15" t="n"/>
      <c r="D47" s="15" t="n"/>
      <c r="E47" s="15" t="n"/>
      <c r="F47" s="15" t="n"/>
      <c r="G47" s="16" t="n"/>
    </row>
    <row r="48">
      <c r="A48" s="7" t="inlineStr">
        <is>
          <t>Founder Inputs to Close</t>
        </is>
      </c>
      <c r="B48" s="12" t="inlineStr">
        <is>
          <t>The exact decisions still needed to 'close' the model.</t>
        </is>
      </c>
      <c r="C48" s="15" t="n"/>
      <c r="D48" s="15" t="n"/>
      <c r="E48" s="15" t="n"/>
      <c r="F48" s="15" t="n"/>
      <c r="G48" s="16" t="n"/>
    </row>
  </sheetData>
  <mergeCells count="16">
    <mergeCell ref="B47:G47"/>
    <mergeCell ref="B19:G19"/>
    <mergeCell ref="B20:G20"/>
    <mergeCell ref="B42:G42"/>
    <mergeCell ref="B46:G46"/>
    <mergeCell ref="A9:G9"/>
    <mergeCell ref="A8:G8"/>
    <mergeCell ref="A3:G3"/>
    <mergeCell ref="A6:G6"/>
    <mergeCell ref="B45:G45"/>
    <mergeCell ref="B44:G44"/>
    <mergeCell ref="B43:G43"/>
    <mergeCell ref="B18:G18"/>
    <mergeCell ref="A7:G7"/>
    <mergeCell ref="B21:G2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6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Profit &amp; Loss — actuals basis (v0.2, single cash basis for expenses)</t>
        </is>
      </c>
    </row>
    <row r="2">
      <c r="A2" s="2" t="inlineStr">
        <is>
          <t>Revenue VERIFIED (live Xero mirror 2026-05-29). Expenses now on a SINGLE CASH BASIS = ACT-GD bank spend (no bill+bank double-count). Founder time still a dial-driven sensitivity.</t>
        </is>
      </c>
    </row>
    <row r="4">
      <c r="A4" s="3" t="inlineStr">
        <is>
          <t>FY ROLLUP</t>
        </is>
      </c>
    </row>
    <row r="5">
      <c r="A5" s="6" t="inlineStr">
        <is>
          <t>FY</t>
        </is>
      </c>
      <c r="B5" s="6" t="inlineStr">
        <is>
          <t>Total Revenue</t>
        </is>
      </c>
      <c r="C5" s="6" t="inlineStr">
        <is>
          <t>Grant</t>
        </is>
      </c>
      <c r="D5" s="6" t="inlineStr">
        <is>
          <t>Commercial</t>
        </is>
      </c>
      <c r="E5" s="44" t="inlineStr">
        <is>
          <t>Expenses (bill basis)</t>
        </is>
      </c>
      <c r="F5" s="44" t="inlineStr">
        <is>
          <t>Net (bill basis, excl founder+capex)</t>
        </is>
      </c>
      <c r="G5" s="6" t="inlineStr">
        <is>
          <t>Status</t>
        </is>
      </c>
    </row>
    <row r="6">
      <c r="A6" s="10" t="inlineStr">
        <is>
          <t>FY25 (Jul24–Jun25)</t>
        </is>
      </c>
      <c r="B6" s="20" t="n">
        <v>249885</v>
      </c>
      <c r="C6" s="20" t="n">
        <v>237885</v>
      </c>
      <c r="D6" s="20" t="n">
        <v>12000</v>
      </c>
      <c r="E6" s="20" t="n">
        <v>103519</v>
      </c>
      <c r="F6" s="20" t="n">
        <v>146366</v>
      </c>
      <c r="G6" s="21" t="inlineStr">
        <is>
          <t>VERIFIED rev / partial exp</t>
        </is>
      </c>
    </row>
    <row r="7">
      <c r="A7" s="10" t="inlineStr">
        <is>
          <t>FY26 YTD (Jul25–Apr26)</t>
        </is>
      </c>
      <c r="B7" s="20" t="n">
        <v>435026</v>
      </c>
      <c r="C7" s="20" t="n">
        <v>373577</v>
      </c>
      <c r="D7" s="20" t="n">
        <v>61449</v>
      </c>
      <c r="E7" s="20" t="n">
        <v>246594</v>
      </c>
      <c r="F7" s="20" t="n">
        <v>188432</v>
      </c>
      <c r="G7" s="21" t="inlineStr">
        <is>
          <t>VERIFIED rev / partial exp</t>
        </is>
      </c>
    </row>
    <row r="8">
      <c r="A8" s="24" t="inlineStr">
        <is>
          <t>Cumulative (cash basis)</t>
        </is>
      </c>
      <c r="B8" s="25" t="n">
        <v>732211</v>
      </c>
      <c r="C8" s="25" t="n">
        <v>611462</v>
      </c>
      <c r="D8" s="25" t="n">
        <v>73449</v>
      </c>
      <c r="E8" s="25" t="n">
        <v>309126</v>
      </c>
      <c r="F8" s="25" t="n">
        <v>423085</v>
      </c>
      <c r="G8" s="21" t="inlineStr">
        <is>
          <t>VERIFIED rev+spend</t>
        </is>
      </c>
    </row>
    <row r="10" ht="26" customHeight="1">
      <c r="A10" s="26" t="inlineStr">
        <is>
          <t>NOTE: FY25/FY26 expense cells above are the historical ACCPAY (bill) basis. The cumulative row is restated on the v0.2 SINGLE CASH BASIS ($309,126 Goods cash out). Net excludes founder time + capex.</t>
        </is>
      </c>
    </row>
    <row r="12">
      <c r="A12" s="3" t="inlineStr">
        <is>
          <t>EXPENSE — SINGLE CASH BASIS (v0.2 correction)</t>
        </is>
      </c>
    </row>
    <row r="13">
      <c r="A13" s="6" t="inlineStr">
        <is>
          <t>Item</t>
        </is>
      </c>
      <c r="B13" s="6" t="inlineStr">
        <is>
          <t>Amount</t>
        </is>
      </c>
      <c r="C13" s="6" t="inlineStr">
        <is>
          <t>Status</t>
        </is>
      </c>
    </row>
    <row r="14">
      <c r="A14" s="12" t="inlineStr">
        <is>
          <t>Total ACT-GD bank SPEND (NAB Visa ACT + ACT Everyday)</t>
        </is>
      </c>
      <c r="B14" s="23" t="n">
        <v>323106</v>
      </c>
      <c r="C14" s="21" t="inlineStr">
        <is>
          <t>VERIFIED</t>
        </is>
      </c>
    </row>
    <row r="15">
      <c r="A15" s="12" t="inlineStr">
        <is>
          <t>Less: 1300 Washer (washing machine) reclass to ACT-FM</t>
        </is>
      </c>
      <c r="B15" s="23" t="n">
        <v>-13980</v>
      </c>
      <c r="C15" s="21" t="inlineStr">
        <is>
          <t>VERIFIED</t>
        </is>
      </c>
    </row>
    <row r="16">
      <c r="A16" s="27">
        <f> Goods cash out (single cash basis)</f>
        <v/>
      </c>
      <c r="B16" s="28" t="n">
        <v>309126</v>
      </c>
      <c r="C16" s="21" t="inlineStr">
        <is>
          <t>VERIFIED</t>
        </is>
      </c>
    </row>
    <row r="17">
      <c r="A17" s="27" t="inlineStr">
        <is>
          <t>Operating surplus BEFORE founder time (received − Goods cash out)</t>
        </is>
      </c>
      <c r="B17" s="28">
        <f>649711-309126</f>
        <v/>
      </c>
      <c r="C17" s="21" t="inlineStr">
        <is>
          <t>VERIFIED basis</t>
        </is>
      </c>
    </row>
    <row r="18">
      <c r="A18" s="12" t="inlineStr">
        <is>
          <t>Operating margin before founder time (on received)</t>
        </is>
      </c>
      <c r="B18" s="29">
        <f>(649711-309126)/649711</f>
        <v/>
      </c>
      <c r="C18" s="22" t="inlineStr">
        <is>
          <t>MODELLED</t>
        </is>
      </c>
    </row>
    <row r="20" ht="40" customHeight="1">
      <c r="A20" s="26" t="inlineStr">
        <is>
          <t>v0.1 used 'ACCPAY $350,112 + bank-only $86,499 = $436,612' — that DOUBLE-COUNTED ~$100K (AUTHORISED bills overlap the bank spend). v0.2 single cash basis = $323,106 spend, less $13,980 washer = $309,126. Capex ~$110,046 sits inside this; opex/capex split is an accountant item. NO bank spend came from a personal account ($0) → NO director loan.</t>
        </is>
      </c>
    </row>
    <row r="22">
      <c r="A22" s="3" t="inlineStr">
        <is>
          <t>FOUNDER-TIME — LOCKED 2026-05-29 ($560/day x 150 days/yr = $84,000/yr). Sensitivity table below (250 days x combined FTE) kept as a reference only.</t>
        </is>
      </c>
    </row>
    <row r="23" ht="24" customHeight="1">
      <c r="A23" s="26" t="inlineStr">
        <is>
          <t>Day-rate dial now README!B15 (LOCKED $560). HEADLINE founder cost = $560 x 150 founder-days = $84,000/yr: 30 production days = $16,800/yr (bed fixed block) + 120 days = $67,200/yr (fundraising/commercialisation/governance = cost-of-capital + customer-acquisition + ACT-wide, NOT unit cost).</t>
        </is>
      </c>
    </row>
    <row r="24">
      <c r="A24" s="6" t="inlineStr">
        <is>
          <t>Scenario</t>
        </is>
      </c>
      <c r="B24" s="6" t="inlineStr">
        <is>
          <t>Ben FTE</t>
        </is>
      </c>
      <c r="C24" s="6" t="inlineStr">
        <is>
          <t>Nic FTE</t>
        </is>
      </c>
      <c r="D24" s="6" t="inlineStr">
        <is>
          <t>Combined FTE</t>
        </is>
      </c>
      <c r="E24" s="6" t="inlineStr">
        <is>
          <t>Annual founder cost</t>
        </is>
      </c>
      <c r="F24" s="6" t="inlineStr">
        <is>
          <t>Monthly</t>
        </is>
      </c>
      <c r="G24" s="6" t="inlineStr">
        <is>
          <t>Status</t>
        </is>
      </c>
    </row>
    <row r="25">
      <c r="A25" s="7" t="inlineStr">
        <is>
          <t>Conservative</t>
        </is>
      </c>
      <c r="B25" s="30" t="n">
        <v>0.25</v>
      </c>
      <c r="C25" s="30" t="n">
        <v>0.25</v>
      </c>
      <c r="D25" s="30" t="n">
        <v>0.5</v>
      </c>
      <c r="E25" s="20">
        <f>'README &amp; Assumptions'!$B$15*250*0.5</f>
        <v/>
      </c>
      <c r="F25" s="20">
        <f>'README &amp; Assumptions'!$B$15*250*0.5/12</f>
        <v/>
      </c>
      <c r="G25" s="22" t="inlineStr">
        <is>
          <t>MODELLED</t>
        </is>
      </c>
    </row>
    <row r="26">
      <c r="A26" s="7" t="inlineStr">
        <is>
          <t>Mid</t>
        </is>
      </c>
      <c r="B26" s="30" t="n">
        <v>0.5</v>
      </c>
      <c r="C26" s="30" t="n">
        <v>0.5</v>
      </c>
      <c r="D26" s="30" t="n">
        <v>1</v>
      </c>
      <c r="E26" s="20">
        <f>'README &amp; Assumptions'!$B$15*250*1.0</f>
        <v/>
      </c>
      <c r="F26" s="20">
        <f>'README &amp; Assumptions'!$B$15*250*1.0/12</f>
        <v/>
      </c>
      <c r="G26" s="22" t="inlineStr">
        <is>
          <t>MODELLED</t>
        </is>
      </c>
    </row>
    <row r="27">
      <c r="A27" s="7" t="inlineStr">
        <is>
          <t>High</t>
        </is>
      </c>
      <c r="B27" s="30" t="n">
        <v>0.75</v>
      </c>
      <c r="C27" s="30" t="n">
        <v>0.5</v>
      </c>
      <c r="D27" s="30" t="n">
        <v>1.25</v>
      </c>
      <c r="E27" s="20">
        <f>'README &amp; Assumptions'!$B$15*250*1.25</f>
        <v/>
      </c>
      <c r="F27" s="20">
        <f>'README &amp; Assumptions'!$B$15*250*1.25/12</f>
        <v/>
      </c>
      <c r="G27" s="22" t="inlineStr">
        <is>
          <t>MODELLED</t>
        </is>
      </c>
    </row>
    <row r="28">
      <c r="A28" s="7" t="inlineStr">
        <is>
          <t>All-in</t>
        </is>
      </c>
      <c r="B28" s="30" t="n">
        <v>0.8</v>
      </c>
      <c r="C28" s="30" t="n">
        <v>0.7</v>
      </c>
      <c r="D28" s="30" t="n">
        <v>1.5</v>
      </c>
      <c r="E28" s="20">
        <f>'README &amp; Assumptions'!$B$15*250*1.5</f>
        <v/>
      </c>
      <c r="F28" s="20">
        <f>'README &amp; Assumptions'!$B$15*250*1.5/12</f>
        <v/>
      </c>
      <c r="G28" s="22" t="inlineStr">
        <is>
          <t>MODELLED</t>
        </is>
      </c>
    </row>
    <row r="30" ht="44" customHeight="1">
      <c r="A30" s="26" t="inlineStr">
        <is>
          <t>Day 3 honest read holds: at the Mid founder scenario the cumulative operating surplus is largely consumed by founder time. v0.2 changes the EXPENSE base (cash, not bill+bank) but not the founder-time mechanic.</t>
        </is>
      </c>
    </row>
    <row r="32">
      <c r="A32" s="3" t="inlineStr">
        <is>
          <t>REVENUE MIX (Day 5, on $684,911 basis)</t>
        </is>
      </c>
    </row>
    <row r="33">
      <c r="A33" s="6" t="inlineStr">
        <is>
          <t>Segment</t>
        </is>
      </c>
      <c r="B33" s="6" t="inlineStr">
        <is>
          <t>To date</t>
        </is>
      </c>
      <c r="C33" s="6" t="inlineStr">
        <is>
          <t>% of total</t>
        </is>
      </c>
      <c r="D33" s="6" t="inlineStr">
        <is>
          <t>Status</t>
        </is>
      </c>
    </row>
    <row r="34">
      <c r="A34" s="12" t="inlineStr">
        <is>
          <t>Donor-funded institutional distribution</t>
        </is>
      </c>
      <c r="B34" s="20" t="n">
        <v>611461</v>
      </c>
      <c r="C34" s="30" t="n">
        <v>0.893</v>
      </c>
      <c r="D34" s="21" t="inlineStr">
        <is>
          <t>VERIFIED</t>
        </is>
      </c>
    </row>
    <row r="35">
      <c r="A35" s="12" t="inlineStr">
        <is>
          <t>Direct institutional commercial</t>
        </is>
      </c>
      <c r="B35" s="20" t="n">
        <v>45499</v>
      </c>
      <c r="C35" s="30" t="n">
        <v>0.066</v>
      </c>
      <c r="D35" s="21" t="inlineStr">
        <is>
          <t>VERIFIED</t>
        </is>
      </c>
    </row>
    <row r="36">
      <c r="A36" s="12" t="inlineStr">
        <is>
          <t>Corporate sponsorship / RAP</t>
        </is>
      </c>
      <c r="B36" s="20" t="n">
        <v>12000</v>
      </c>
      <c r="C36" s="30" t="n">
        <v>0.018</v>
      </c>
      <c r="D36" s="21" t="inlineStr">
        <is>
          <t>VERIFIED</t>
        </is>
      </c>
    </row>
    <row r="37">
      <c r="A37" s="12" t="inlineStr">
        <is>
          <t>Community / maker partners</t>
        </is>
      </c>
      <c r="B37" s="20" t="n">
        <v>15950</v>
      </c>
      <c r="C37" s="30" t="n">
        <v>0.023</v>
      </c>
      <c r="D37" s="21" t="inlineStr">
        <is>
          <t>VERIFIED</t>
        </is>
      </c>
    </row>
    <row r="38">
      <c r="A38" s="12" t="inlineStr">
        <is>
          <t>Government procurement</t>
        </is>
      </c>
      <c r="B38" s="20" t="n">
        <v>0</v>
      </c>
      <c r="C38" s="30" t="n">
        <v>0</v>
      </c>
      <c r="D38" s="11" t="inlineStr">
        <is>
          <t>TO CONFIRM</t>
        </is>
      </c>
    </row>
    <row r="39">
      <c r="A39" s="12" t="inlineStr">
        <is>
          <t>Direct retail / B2C</t>
        </is>
      </c>
      <c r="B39" s="20" t="n">
        <v>0</v>
      </c>
      <c r="C39" s="30" t="n">
        <v>0</v>
      </c>
      <c r="D39" s="11" t="inlineStr">
        <is>
          <t>TO CONFIRM</t>
        </is>
      </c>
    </row>
    <row r="40">
      <c r="A40" s="12" t="inlineStr">
        <is>
          <t>Adjacent markets</t>
        </is>
      </c>
      <c r="B40" s="20" t="n">
        <v>0</v>
      </c>
      <c r="C40" s="30" t="n">
        <v>0</v>
      </c>
      <c r="D40" s="11" t="inlineStr">
        <is>
          <t>TO CONFIRM</t>
        </is>
      </c>
    </row>
    <row r="42" ht="24" customHeight="1">
      <c r="A42" s="26" t="inlineStr">
        <is>
          <t>Read: diversified early revenue, donor-funded institutional dominant. FLAG: $94,500 of ACT-GD revenue is currently UNTAGGED grant-vs-commercial — segment split above is provisional until tagged.</t>
        </is>
      </c>
    </row>
    <row r="44">
      <c r="A44" s="47" t="inlineStr">
        <is>
          <t>FOUNDER-TIME LOCK + OPERATING SURPLUS AFTER FOUNDER TIME (headline — LOCKED 2026-05-29, Ben)</t>
        </is>
      </c>
    </row>
    <row r="45">
      <c r="A45" s="12" t="inlineStr">
        <is>
          <t>Founder day-rate (LOCKED, README!B15)</t>
        </is>
      </c>
      <c r="B45" s="20">
        <f>'README &amp; Assumptions'!$B$15</f>
        <v/>
      </c>
      <c r="C45" s="21" t="inlineStr">
        <is>
          <t>LOCKED</t>
        </is>
      </c>
    </row>
    <row r="46">
      <c r="A46" s="12" t="inlineStr">
        <is>
          <t>Founder days/yr (LOCKED total)</t>
        </is>
      </c>
      <c r="B46" s="20" t="n">
        <v>150</v>
      </c>
      <c r="C46" s="21" t="inlineStr">
        <is>
          <t>LOCKED</t>
        </is>
      </c>
    </row>
    <row r="47">
      <c r="A47" s="27" t="inlineStr">
        <is>
          <t>Founder cost per year (= $560 x 150)</t>
        </is>
      </c>
      <c r="B47" s="34">
        <f>'README &amp; Assumptions'!$B$15*150</f>
        <v/>
      </c>
      <c r="C47" s="21" t="inlineStr">
        <is>
          <t>LOCKED</t>
        </is>
      </c>
    </row>
    <row r="48">
      <c r="A48" s="12" t="inlineStr">
        <is>
          <t xml:space="preserve">   of which production share (30 days — in bed fixed block)</t>
        </is>
      </c>
      <c r="B48" s="20">
        <f>'README &amp; Assumptions'!$B$15*30</f>
        <v/>
      </c>
      <c r="C48" s="21" t="inlineStr">
        <is>
          <t>LOCKED</t>
        </is>
      </c>
    </row>
    <row r="49">
      <c r="A49" s="12" t="inlineStr">
        <is>
          <t xml:space="preserve">   of which fundraising/commercialisation/governance (120 days — NOT unit cost)</t>
        </is>
      </c>
      <c r="B49" s="20">
        <f>'README &amp; Assumptions'!$B$15*120</f>
        <v/>
      </c>
      <c r="C49" s="21" t="inlineStr">
        <is>
          <t>LOCKED</t>
        </is>
      </c>
    </row>
    <row r="50">
      <c r="A50" s="12" t="inlineStr">
        <is>
          <t>Model actuals period (months) — cash-actuals span</t>
        </is>
      </c>
      <c r="B50" s="20" t="n">
        <v>27</v>
      </c>
      <c r="C50" s="21" t="inlineStr">
        <is>
          <t>~27mo basis</t>
        </is>
      </c>
    </row>
    <row r="51">
      <c r="A51" s="12" t="inlineStr">
        <is>
          <t>Founder time over the period (= $84,000/yr pro-rata)</t>
        </is>
      </c>
      <c r="B51" s="20">
        <f>'README &amp; Assumptions'!$B$15*150*B50/12</f>
        <v/>
      </c>
      <c r="C51" s="21" t="inlineStr">
        <is>
          <t>MODELLED</t>
        </is>
      </c>
    </row>
    <row r="52">
      <c r="A52" s="12" t="inlineStr">
        <is>
          <t>Operating surplus BEFORE founder time (reference; received $649,711 - cash out $309,126)</t>
        </is>
      </c>
      <c r="B52" s="20">
        <f>649711-309126</f>
        <v/>
      </c>
      <c r="C52" s="21" t="inlineStr">
        <is>
          <t>VERIFIED basis</t>
        </is>
      </c>
    </row>
    <row r="53">
      <c r="A53" s="48" t="inlineStr">
        <is>
          <t>Operating surplus AFTER founder time (period; before minus period founder time)</t>
        </is>
      </c>
      <c r="B53" s="34">
        <f>649711-309126-B51</f>
        <v/>
      </c>
      <c r="C53" s="21" t="inlineStr">
        <is>
          <t>VERIFIED basis - MODELLED founder time</t>
        </is>
      </c>
    </row>
  </sheetData>
  <mergeCells count="5">
    <mergeCell ref="A20:G20"/>
    <mergeCell ref="A30:G30"/>
    <mergeCell ref="A10:G10"/>
    <mergeCell ref="A42:G4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56" customWidth="1" min="4" max="4"/>
  </cols>
  <sheetData>
    <row r="1">
      <c r="A1" s="1" t="inlineStr">
        <is>
          <t>Balance Sheet / Working-Capital Schedule — scaffold v0.2</t>
        </is>
      </c>
    </row>
    <row r="2">
      <c r="A2" s="2" t="inlineStr">
        <is>
          <t>v0.2: AP genuinely owed ≈ $0 (AUTHORISED bills = payment-matching gap). NO director loan ($0 personal spend). Known items populated; remaining Area-04 gaps scaffolded TO CONFIRM (never fabricated).</t>
        </is>
      </c>
    </row>
    <row r="4">
      <c r="A4" s="3" t="inlineStr">
        <is>
          <t>ASSETS</t>
        </is>
      </c>
    </row>
    <row r="5">
      <c r="A5" s="6" t="inlineStr">
        <is>
          <t>Line item</t>
        </is>
      </c>
      <c r="B5" s="6" t="inlineStr">
        <is>
          <t>Amount</t>
        </is>
      </c>
      <c r="C5" s="6" t="inlineStr">
        <is>
          <t>Status</t>
        </is>
      </c>
      <c r="D5" s="6" t="inlineStr">
        <is>
          <t>Source / note</t>
        </is>
      </c>
    </row>
    <row r="6" ht="30" customHeight="1">
      <c r="A6" s="12" t="inlineStr">
        <is>
          <t>Cash — opening @ 1 May 2026</t>
        </is>
      </c>
      <c r="B6" s="31">
        <f>'README &amp; Assumptions'!$B$13</f>
        <v/>
      </c>
      <c r="C6" s="11" t="inlineStr">
        <is>
          <t>FOUNDER-CONFIRM</t>
        </is>
      </c>
      <c r="D6" s="12" t="inlineStr">
        <is>
          <t>LIVE DIAL (README!B13). $50,000 placeholder = balance of ACT business accounts (NAB Visa ACT + ACT Everyday) attributable to Goods at 1 May 2026 — shared accounts, needs a carve-out.</t>
        </is>
      </c>
    </row>
    <row r="7" ht="30" customHeight="1">
      <c r="A7" s="12" t="inlineStr">
        <is>
          <t>Accounts receivable — Rotary INV-0222</t>
        </is>
      </c>
      <c r="B7" s="23" t="n">
        <v>82500</v>
      </c>
      <c r="C7" s="21" t="inlineStr">
        <is>
          <t>VERIFIED</t>
        </is>
      </c>
      <c r="D7" s="12" t="inlineStr">
        <is>
          <t>ACT-GD ACCREC genuinely owed — Rotary INV-0222. VERIFIED: no matching RECEIVE txn exists (not received-but-unmatched).</t>
        </is>
      </c>
    </row>
    <row r="8" ht="30" customHeight="1">
      <c r="A8" s="12" t="inlineStr">
        <is>
          <t>Accounts receivable — full AR ageing</t>
        </is>
      </c>
      <c r="B8" s="9" t="inlineStr">
        <is>
          <t>—</t>
        </is>
      </c>
      <c r="C8" s="11" t="inlineStr">
        <is>
          <t>TO CONFIRM</t>
        </is>
      </c>
      <c r="D8" s="12" t="inlineStr">
        <is>
          <t>Need 30/60/90 ageing by invoice from accountant.</t>
        </is>
      </c>
    </row>
    <row r="9" ht="30" customHeight="1">
      <c r="A9" s="12" t="inlineStr">
        <is>
          <t>Inventory — finished beds + materials WIP</t>
        </is>
      </c>
      <c r="B9" s="9" t="inlineStr">
        <is>
          <t>—</t>
        </is>
      </c>
      <c r="C9" s="11" t="inlineStr">
        <is>
          <t>TO CONFIRM</t>
        </is>
      </c>
      <c r="D9" s="12" t="inlineStr">
        <is>
          <t>Not yet valued. SIH flagged standing inventory for B2C. Day 6 modelled $50K one-time build.</t>
        </is>
      </c>
    </row>
    <row r="10" ht="30" customHeight="1">
      <c r="A10" s="12" t="inlineStr">
        <is>
          <t>Plant &amp; equipment (capex already invested)</t>
        </is>
      </c>
      <c r="B10" s="23" t="n">
        <v>110046</v>
      </c>
      <c r="C10" s="21" t="inlineStr">
        <is>
          <t>VERIFIED</t>
        </is>
      </c>
      <c r="D10" s="12" t="inlineStr">
        <is>
          <t>Carbatec tooling $10,046 + facility build to date; sits inside the $323,106 cash spend. Net of depreciation TBC by accountant.</t>
        </is>
      </c>
    </row>
    <row r="11" ht="30" customHeight="1">
      <c r="A11" s="12" t="inlineStr">
        <is>
          <t>Plant &amp; equipment — facility build (planned)</t>
        </is>
      </c>
      <c r="B11" s="23" t="n">
        <v>100000</v>
      </c>
      <c r="C11" s="32" t="inlineStr">
        <is>
          <t>TARGET</t>
        </is>
      </c>
      <c r="D11" s="12" t="inlineStr">
        <is>
          <t>v6 capex band $112K–$222K; net capital ask $90K–$200K after $110K invested.</t>
        </is>
      </c>
    </row>
    <row r="12" ht="30" customHeight="1">
      <c r="A12" s="12" t="inlineStr">
        <is>
          <t>R&amp;D Tax Incentive refund receivable</t>
        </is>
      </c>
      <c r="B12" s="9" t="inlineStr">
        <is>
          <t>—</t>
        </is>
      </c>
      <c r="C12" s="11" t="inlineStr">
        <is>
          <t>TO CONFIRM</t>
        </is>
      </c>
      <c r="D12" s="12" t="inlineStr">
        <is>
          <t>~$80K/yr modelled (Day 6/8). Eligibility structural; accrual treatment TBC.</t>
        </is>
      </c>
    </row>
    <row r="14">
      <c r="A14" s="3" t="inlineStr">
        <is>
          <t>LIABILITIES</t>
        </is>
      </c>
    </row>
    <row r="15">
      <c r="A15" s="6" t="inlineStr">
        <is>
          <t>Line item</t>
        </is>
      </c>
      <c r="B15" s="6" t="inlineStr">
        <is>
          <t>Amount</t>
        </is>
      </c>
      <c r="C15" s="6" t="inlineStr">
        <is>
          <t>Status</t>
        </is>
      </c>
      <c r="D15" s="6" t="inlineStr">
        <is>
          <t>Source / note</t>
        </is>
      </c>
    </row>
    <row r="16" ht="30" customHeight="1">
      <c r="A16" s="12" t="inlineStr">
        <is>
          <t>Accounts payable — genuinely owed</t>
        </is>
      </c>
      <c r="B16" s="23" t="n">
        <v>0</v>
      </c>
      <c r="C16" s="21" t="inlineStr">
        <is>
          <t>VERIFIED</t>
        </is>
      </c>
      <c r="D16" s="12" t="inlineStr">
        <is>
          <t>≈ $0 owed. The ~$124,878 AUTHORISED ACCPAY bills are a Xero payment-MATCHING gap (paid from ACT accounts, never applied to the bill). NOT debt.</t>
        </is>
      </c>
    </row>
    <row r="17" ht="30" customHeight="1">
      <c r="A17" s="12" t="inlineStr">
        <is>
          <t>AUTHORISED ACCPAY bills (payment-matching gap, NOT debt)</t>
        </is>
      </c>
      <c r="B17" s="45" t="n">
        <v>124878</v>
      </c>
      <c r="C17" s="21" t="inlineStr">
        <is>
          <t>VERIFIED</t>
        </is>
      </c>
      <c r="D17" s="12" t="inlineStr">
        <is>
          <t>Memo only — already paid from ACT accounts; apply the existing payments, do not pay again. Excludes Carla $11,180 accrual phantom.</t>
        </is>
      </c>
    </row>
    <row r="18" ht="30" customHeight="1">
      <c r="A18" s="12" t="inlineStr">
        <is>
          <t>GST net payable (BAS position, rough)</t>
        </is>
      </c>
      <c r="B18" s="45" t="n">
        <v>29657</v>
      </c>
      <c r="C18" s="22" t="inlineStr">
        <is>
          <t>MODELLED</t>
        </is>
      </c>
      <c r="D18" s="12" t="inlineStr">
        <is>
          <t>output GST $62,019 − input GST $32,362. Accountant to finalise the BAS.</t>
        </is>
      </c>
    </row>
    <row r="19" ht="30" customHeight="1">
      <c r="A19" s="12" t="inlineStr">
        <is>
          <t>Director loan / reimbursement</t>
        </is>
      </c>
      <c r="B19" s="45" t="n">
        <v>0</v>
      </c>
      <c r="C19" s="21" t="inlineStr">
        <is>
          <t>VERIFIED</t>
        </is>
      </c>
      <c r="D19" s="12" t="inlineStr">
        <is>
          <t>NONE. Verified: all ACT-GD bank spend came from ACT business accounts; $0 from personal NM Personal. The 'paid via Nic's personal account' framing was wrong.</t>
        </is>
      </c>
    </row>
    <row r="20" ht="30" customHeight="1">
      <c r="A20" s="12" t="inlineStr">
        <is>
          <t>Debt — SEFA working capital (planned)</t>
        </is>
      </c>
      <c r="B20" s="23" t="n">
        <v>300000</v>
      </c>
      <c r="C20" s="22" t="inlineStr">
        <is>
          <t>MODELLED</t>
        </is>
      </c>
      <c r="D20" s="12" t="inlineStr">
        <is>
          <t>Day 8 concessional; ~4–6%, close target Nov 2026. NOT drawn.</t>
        </is>
      </c>
    </row>
    <row r="22">
      <c r="A22" s="3" t="inlineStr">
        <is>
          <t>WORKING-CAPITAL SIGNAL (verified Xero basis — NOT a squeeze)</t>
        </is>
      </c>
    </row>
    <row r="23">
      <c r="A23" s="6" t="inlineStr">
        <is>
          <t>Item</t>
        </is>
      </c>
      <c r="B23" s="6" t="inlineStr">
        <is>
          <t>Amount</t>
        </is>
      </c>
      <c r="C23" s="6" t="inlineStr">
        <is>
          <t>Status</t>
        </is>
      </c>
      <c r="D23" s="6" t="inlineStr">
        <is>
          <t>Note</t>
        </is>
      </c>
    </row>
    <row r="25">
      <c r="A25" s="10" t="inlineStr">
        <is>
          <t>Receivables due (AR signal)</t>
        </is>
      </c>
      <c r="B25" s="23" t="n">
        <v>82500</v>
      </c>
      <c r="C25" s="21" t="inlineStr">
        <is>
          <t>VERIFIED</t>
        </is>
      </c>
      <c r="D25" s="10" t="inlineStr">
        <is>
          <t>ACT-GD ACCREC due</t>
        </is>
      </c>
    </row>
    <row r="26">
      <c r="A26" s="10" t="inlineStr">
        <is>
          <t>Payables genuinely owed (AP signal)</t>
        </is>
      </c>
      <c r="B26" s="23" t="n">
        <v>0</v>
      </c>
      <c r="C26" s="21" t="inlineStr">
        <is>
          <t>VERIFIED</t>
        </is>
      </c>
      <c r="D26" s="10" t="inlineStr">
        <is>
          <t>≈ $0 — matching gap, not debt</t>
        </is>
      </c>
    </row>
    <row r="27" ht="30" customHeight="1">
      <c r="A27" s="7" t="inlineStr">
        <is>
          <t>Net working-capital signal (AR − AP)</t>
        </is>
      </c>
      <c r="B27" s="33">
        <f>B25-B26</f>
        <v/>
      </c>
      <c r="C27" s="22" t="inlineStr">
        <is>
          <t>MODELLED</t>
        </is>
      </c>
      <c r="D27" s="12" t="inlineStr">
        <is>
          <t>Net POSITIVE ≈ +$82,500 (Rotary AR owed, AP ≈ $0). v0.1's −$44.4K 'squeeze' was an artefact of treating the payment-matching gap as debt. There is NO working-capital squeeze.</t>
        </is>
      </c>
    </row>
    <row r="29" ht="40" customHeight="1">
      <c r="A29" s="26" t="inlineStr">
        <is>
          <t>This remains a working-capital SCAFFOLD, not a balance sheet that balances. v0.2 corrects the AP and director-loan lines to $0 (verified) and reframes cash as the ACT-accounts carve-out. Inventory, full GST/BAS, depreciation + carve-out still TO CONFIRM with the accountant.</t>
        </is>
      </c>
    </row>
  </sheetData>
  <mergeCells count="1">
    <mergeCell ref="A29:D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Cashflow projection — 36 months (May 2026 → Apr 2029)</t>
        </is>
      </c>
    </row>
    <row r="2">
      <c r="A2" s="2" t="inlineStr">
        <is>
          <t>MODELLED. Opening cash = LIVE DIAL (the ACT-accounts carve-out, README!B13). Cumulative-cash column is FORMULA-DRIVEN off that dial — the trough recomputes live. v0.2: no working-capital squeeze in the opening position (AP ≈ $0); the trough below is the modelled forward burn vs capital, not a payables overhang.</t>
        </is>
      </c>
    </row>
    <row r="4" ht="24" customHeight="1">
      <c r="A4" s="26" t="inlineStr">
        <is>
          <t>Documented trough anchors (base case, $50K opening): −$94,483 Aug-2026 · downside −$171K Nov-2026 · upside −$15K Aug-2026 (Day 6/9).</t>
        </is>
      </c>
    </row>
    <row r="5" ht="28" customHeight="1">
      <c r="A5" s="26" t="inlineStr">
        <is>
          <t>Net monthly cashflow below is the documented base-case monthly delta series implied by the Day-6 milestones (opening→trough→injections→FY closes). Change the opening-cash dial to re-base the cumulative line and trough.</t>
        </is>
      </c>
    </row>
    <row r="7">
      <c r="A7" s="6" t="inlineStr">
        <is>
          <t>Month</t>
        </is>
      </c>
      <c r="B7" s="6" t="inlineStr">
        <is>
          <t>Net op cashflow</t>
        </is>
      </c>
      <c r="C7" s="6" t="inlineStr">
        <is>
          <t>Capital in</t>
        </is>
      </c>
      <c r="D7" s="6" t="inlineStr">
        <is>
          <t>Net monthly Δ</t>
        </is>
      </c>
      <c r="E7" s="6" t="inlineStr">
        <is>
          <t>Cumulative cash</t>
        </is>
      </c>
      <c r="F7" s="6" t="inlineStr">
        <is>
          <t>Buffer state</t>
        </is>
      </c>
      <c r="G7" s="6" t="inlineStr">
        <is>
          <t>Status</t>
        </is>
      </c>
    </row>
    <row r="8">
      <c r="A8" s="9" t="inlineStr">
        <is>
          <t>May 2026</t>
        </is>
      </c>
      <c r="B8" s="20" t="n">
        <v>0</v>
      </c>
      <c r="C8" s="20" t="n"/>
      <c r="D8" s="20">
        <f>B8+C8</f>
        <v/>
      </c>
      <c r="E8" s="34">
        <f>'README &amp; Assumptions'!$B$13+D8</f>
        <v/>
      </c>
      <c r="F8" s="22" t="inlineStr">
        <is>
          <t>BELOW_FLOOR</t>
        </is>
      </c>
      <c r="G8" s="22" t="inlineStr">
        <is>
          <t>MODELLED</t>
        </is>
      </c>
    </row>
    <row r="9">
      <c r="A9" s="9" t="inlineStr">
        <is>
          <t>Jun 2026</t>
        </is>
      </c>
      <c r="B9" s="20" t="n">
        <v>-48161</v>
      </c>
      <c r="C9" s="20" t="n"/>
      <c r="D9" s="20">
        <f>B9+C9</f>
        <v/>
      </c>
      <c r="E9" s="20">
        <f>E8+D9</f>
        <v/>
      </c>
      <c r="F9" s="35" t="inlineStr">
        <is>
          <t>NEGATIVE</t>
        </is>
      </c>
      <c r="G9" s="22" t="inlineStr">
        <is>
          <t>MODELLED</t>
        </is>
      </c>
    </row>
    <row r="10">
      <c r="A10" s="9" t="inlineStr">
        <is>
          <t>Jul 2026</t>
        </is>
      </c>
      <c r="B10" s="20" t="n">
        <v>-48161</v>
      </c>
      <c r="C10" s="20" t="n"/>
      <c r="D10" s="20">
        <f>B10+C10</f>
        <v/>
      </c>
      <c r="E10" s="20">
        <f>E9+D10</f>
        <v/>
      </c>
      <c r="F10" s="35" t="inlineStr">
        <is>
          <t>NEGATIVE</t>
        </is>
      </c>
      <c r="G10" s="22" t="inlineStr">
        <is>
          <t>MODELLED</t>
        </is>
      </c>
    </row>
    <row r="11">
      <c r="A11" s="9" t="inlineStr">
        <is>
          <t>Aug 2026</t>
        </is>
      </c>
      <c r="B11" s="20" t="n">
        <v>-48161</v>
      </c>
      <c r="C11" s="20" t="n"/>
      <c r="D11" s="20">
        <f>B11+C11</f>
        <v/>
      </c>
      <c r="E11" s="20">
        <f>E10+D11</f>
        <v/>
      </c>
      <c r="F11" s="35" t="inlineStr">
        <is>
          <t>NEGATIVE</t>
        </is>
      </c>
      <c r="G11" s="22" t="inlineStr">
        <is>
          <t>MODELLED</t>
        </is>
      </c>
    </row>
    <row r="12">
      <c r="A12" s="9" t="inlineStr">
        <is>
          <t>Sep 2026</t>
        </is>
      </c>
      <c r="B12" s="20" t="n">
        <v>-2042</v>
      </c>
      <c r="C12" s="20" t="n">
        <v>400000</v>
      </c>
      <c r="D12" s="20">
        <f>B12+C12</f>
        <v/>
      </c>
      <c r="E12" s="20">
        <f>E11+D12</f>
        <v/>
      </c>
      <c r="F12" s="22" t="inlineStr">
        <is>
          <t>BELOW_TARGET</t>
        </is>
      </c>
      <c r="G12" s="22" t="inlineStr">
        <is>
          <t>MODELLED</t>
        </is>
      </c>
    </row>
    <row r="13">
      <c r="A13" s="9" t="inlineStr">
        <is>
          <t>Oct 2026</t>
        </is>
      </c>
      <c r="B13" s="20" t="n">
        <v>-54208</v>
      </c>
      <c r="C13" s="20" t="n"/>
      <c r="D13" s="20">
        <f>B13+C13</f>
        <v/>
      </c>
      <c r="E13" s="20">
        <f>E12+D13</f>
        <v/>
      </c>
      <c r="F13" s="22" t="inlineStr">
        <is>
          <t>BELOW_TARGET</t>
        </is>
      </c>
      <c r="G13" s="22" t="inlineStr">
        <is>
          <t>MODELLED</t>
        </is>
      </c>
    </row>
    <row r="14">
      <c r="A14" s="9" t="inlineStr">
        <is>
          <t>Nov 2026</t>
        </is>
      </c>
      <c r="B14" s="20" t="n">
        <v>-54208</v>
      </c>
      <c r="C14" s="20" t="n">
        <v>300000</v>
      </c>
      <c r="D14" s="20">
        <f>B14+C14</f>
        <v/>
      </c>
      <c r="E14" s="20">
        <f>E13+D14</f>
        <v/>
      </c>
      <c r="F14" s="22" t="inlineStr">
        <is>
          <t>BELOW_FLOOR</t>
        </is>
      </c>
      <c r="G14" s="22" t="inlineStr">
        <is>
          <t>MODELLED</t>
        </is>
      </c>
    </row>
    <row r="15">
      <c r="A15" s="9" t="inlineStr">
        <is>
          <t>Dec 2026</t>
        </is>
      </c>
      <c r="B15" s="20" t="n">
        <v>-12875</v>
      </c>
      <c r="C15" s="20" t="n"/>
      <c r="D15" s="20">
        <f>B15+C15</f>
        <v/>
      </c>
      <c r="E15" s="20">
        <f>E14+D15</f>
        <v/>
      </c>
      <c r="F15" s="22" t="inlineStr">
        <is>
          <t>BELOW_TARGET</t>
        </is>
      </c>
      <c r="G15" s="22" t="inlineStr">
        <is>
          <t>MODELLED</t>
        </is>
      </c>
    </row>
    <row r="16">
      <c r="A16" s="9" t="inlineStr">
        <is>
          <t>Jan 2027</t>
        </is>
      </c>
      <c r="B16" s="20" t="n">
        <v>-12875</v>
      </c>
      <c r="C16" s="20" t="n">
        <v>500000</v>
      </c>
      <c r="D16" s="20">
        <f>B16+C16</f>
        <v/>
      </c>
      <c r="E16" s="20">
        <f>E15+D16</f>
        <v/>
      </c>
      <c r="F16" s="21" t="inlineStr">
        <is>
          <t>OK</t>
        </is>
      </c>
      <c r="G16" s="22" t="inlineStr">
        <is>
          <t>MODELLED</t>
        </is>
      </c>
    </row>
    <row r="17">
      <c r="A17" s="9" t="inlineStr">
        <is>
          <t>Feb 2027</t>
        </is>
      </c>
      <c r="B17" s="20" t="n">
        <v>7681</v>
      </c>
      <c r="C17" s="20" t="n"/>
      <c r="D17" s="20">
        <f>B17+C17</f>
        <v/>
      </c>
      <c r="E17" s="20">
        <f>E16+D17</f>
        <v/>
      </c>
      <c r="F17" s="21" t="inlineStr">
        <is>
          <t>OK</t>
        </is>
      </c>
      <c r="G17" s="22" t="inlineStr">
        <is>
          <t>MODELLED</t>
        </is>
      </c>
    </row>
    <row r="18">
      <c r="A18" s="9" t="inlineStr">
        <is>
          <t>Mar 2027</t>
        </is>
      </c>
      <c r="B18" s="20" t="n">
        <v>7681</v>
      </c>
      <c r="C18" s="20" t="n"/>
      <c r="D18" s="20">
        <f>B18+C18</f>
        <v/>
      </c>
      <c r="E18" s="20">
        <f>E17+D18</f>
        <v/>
      </c>
      <c r="F18" s="21" t="inlineStr">
        <is>
          <t>OK</t>
        </is>
      </c>
      <c r="G18" s="22" t="inlineStr">
        <is>
          <t>MODELLED</t>
        </is>
      </c>
    </row>
    <row r="19">
      <c r="A19" s="9" t="inlineStr">
        <is>
          <t>Apr 2027</t>
        </is>
      </c>
      <c r="B19" s="20" t="n">
        <v>7681</v>
      </c>
      <c r="C19" s="20" t="n"/>
      <c r="D19" s="20">
        <f>B19+C19</f>
        <v/>
      </c>
      <c r="E19" s="20">
        <f>E18+D19</f>
        <v/>
      </c>
      <c r="F19" s="21" t="inlineStr">
        <is>
          <t>OK</t>
        </is>
      </c>
      <c r="G19" s="22" t="inlineStr">
        <is>
          <t>MODELLED</t>
        </is>
      </c>
    </row>
    <row r="20">
      <c r="A20" s="9" t="inlineStr">
        <is>
          <t>May 2027</t>
        </is>
      </c>
      <c r="B20" s="20" t="n">
        <v>97281</v>
      </c>
      <c r="C20" s="20" t="n"/>
      <c r="D20" s="20">
        <f>B20+C20</f>
        <v/>
      </c>
      <c r="E20" s="20">
        <f>E19+D20</f>
        <v/>
      </c>
      <c r="F20" s="21" t="inlineStr">
        <is>
          <t>OK</t>
        </is>
      </c>
      <c r="G20" s="22" t="inlineStr">
        <is>
          <t>MODELLED</t>
        </is>
      </c>
    </row>
    <row r="21">
      <c r="A21" s="9" t="inlineStr">
        <is>
          <t>Jun 2027</t>
        </is>
      </c>
      <c r="B21" s="20" t="n">
        <v>97281</v>
      </c>
      <c r="C21" s="20" t="n"/>
      <c r="D21" s="20">
        <f>B21+C21</f>
        <v/>
      </c>
      <c r="E21" s="20">
        <f>E20+D21</f>
        <v/>
      </c>
      <c r="F21" s="21" t="inlineStr">
        <is>
          <t>OK</t>
        </is>
      </c>
      <c r="G21" s="22" t="inlineStr">
        <is>
          <t>MODELLED</t>
        </is>
      </c>
    </row>
    <row r="22">
      <c r="A22" s="9" t="inlineStr">
        <is>
          <t>Jul 2027</t>
        </is>
      </c>
      <c r="B22" s="20" t="n">
        <v>97281</v>
      </c>
      <c r="C22" s="20" t="n"/>
      <c r="D22" s="20">
        <f>B22+C22</f>
        <v/>
      </c>
      <c r="E22" s="20">
        <f>E21+D22</f>
        <v/>
      </c>
      <c r="F22" s="21" t="inlineStr">
        <is>
          <t>OK</t>
        </is>
      </c>
      <c r="G22" s="22" t="inlineStr">
        <is>
          <t>MODELLED</t>
        </is>
      </c>
    </row>
    <row r="23">
      <c r="A23" s="9" t="inlineStr">
        <is>
          <t>Aug 2027</t>
        </is>
      </c>
      <c r="B23" s="20" t="n">
        <v>97281</v>
      </c>
      <c r="C23" s="20" t="n"/>
      <c r="D23" s="20">
        <f>B23+C23</f>
        <v/>
      </c>
      <c r="E23" s="20">
        <f>E22+D23</f>
        <v/>
      </c>
      <c r="F23" s="21" t="inlineStr">
        <is>
          <t>OK</t>
        </is>
      </c>
      <c r="G23" s="22" t="inlineStr">
        <is>
          <t>MODELLED</t>
        </is>
      </c>
    </row>
    <row r="24">
      <c r="A24" s="9" t="inlineStr">
        <is>
          <t>Sep 2027</t>
        </is>
      </c>
      <c r="B24" s="20" t="n">
        <v>97281</v>
      </c>
      <c r="C24" s="20" t="n"/>
      <c r="D24" s="20">
        <f>B24+C24</f>
        <v/>
      </c>
      <c r="E24" s="20">
        <f>E23+D24</f>
        <v/>
      </c>
      <c r="F24" s="21" t="inlineStr">
        <is>
          <t>OK</t>
        </is>
      </c>
      <c r="G24" s="22" t="inlineStr">
        <is>
          <t>MODELLED</t>
        </is>
      </c>
    </row>
    <row r="25">
      <c r="A25" s="9" t="inlineStr">
        <is>
          <t>Oct 2027</t>
        </is>
      </c>
      <c r="B25" s="20" t="n">
        <v>97281</v>
      </c>
      <c r="C25" s="20" t="n"/>
      <c r="D25" s="20">
        <f>B25+C25</f>
        <v/>
      </c>
      <c r="E25" s="20">
        <f>E24+D25</f>
        <v/>
      </c>
      <c r="F25" s="21" t="inlineStr">
        <is>
          <t>OK</t>
        </is>
      </c>
      <c r="G25" s="22" t="inlineStr">
        <is>
          <t>MODELLED</t>
        </is>
      </c>
    </row>
    <row r="26">
      <c r="A26" s="9" t="inlineStr">
        <is>
          <t>Nov 2027</t>
        </is>
      </c>
      <c r="B26" s="20" t="n">
        <v>97281</v>
      </c>
      <c r="C26" s="20" t="n"/>
      <c r="D26" s="20">
        <f>B26+C26</f>
        <v/>
      </c>
      <c r="E26" s="20">
        <f>E25+D26</f>
        <v/>
      </c>
      <c r="F26" s="21" t="inlineStr">
        <is>
          <t>OK</t>
        </is>
      </c>
      <c r="G26" s="22" t="inlineStr">
        <is>
          <t>MODELLED</t>
        </is>
      </c>
    </row>
    <row r="27">
      <c r="A27" s="9" t="inlineStr">
        <is>
          <t>Dec 2027</t>
        </is>
      </c>
      <c r="B27" s="20" t="n">
        <v>97281</v>
      </c>
      <c r="C27" s="20" t="n"/>
      <c r="D27" s="20">
        <f>B27+C27</f>
        <v/>
      </c>
      <c r="E27" s="20">
        <f>E26+D27</f>
        <v/>
      </c>
      <c r="F27" s="21" t="inlineStr">
        <is>
          <t>OK</t>
        </is>
      </c>
      <c r="G27" s="22" t="inlineStr">
        <is>
          <t>MODELLED</t>
        </is>
      </c>
    </row>
    <row r="28">
      <c r="A28" s="9" t="inlineStr">
        <is>
          <t>Jan 2028</t>
        </is>
      </c>
      <c r="B28" s="20" t="n">
        <v>97281</v>
      </c>
      <c r="C28" s="20" t="n"/>
      <c r="D28" s="20">
        <f>B28+C28</f>
        <v/>
      </c>
      <c r="E28" s="20">
        <f>E27+D28</f>
        <v/>
      </c>
      <c r="F28" s="21" t="inlineStr">
        <is>
          <t>OK</t>
        </is>
      </c>
      <c r="G28" s="22" t="inlineStr">
        <is>
          <t>MODELLED</t>
        </is>
      </c>
    </row>
    <row r="29">
      <c r="A29" s="9" t="inlineStr">
        <is>
          <t>Feb 2028</t>
        </is>
      </c>
      <c r="B29" s="20" t="n">
        <v>97281</v>
      </c>
      <c r="C29" s="20" t="n"/>
      <c r="D29" s="20">
        <f>B29+C29</f>
        <v/>
      </c>
      <c r="E29" s="20">
        <f>E28+D29</f>
        <v/>
      </c>
      <c r="F29" s="21" t="inlineStr">
        <is>
          <t>OK</t>
        </is>
      </c>
      <c r="G29" s="22" t="inlineStr">
        <is>
          <t>MODELLED</t>
        </is>
      </c>
    </row>
    <row r="30">
      <c r="A30" s="9" t="inlineStr">
        <is>
          <t>Mar 2028</t>
        </is>
      </c>
      <c r="B30" s="20" t="n">
        <v>97281</v>
      </c>
      <c r="C30" s="20" t="n"/>
      <c r="D30" s="20">
        <f>B30+C30</f>
        <v/>
      </c>
      <c r="E30" s="20">
        <f>E29+D30</f>
        <v/>
      </c>
      <c r="F30" s="21" t="inlineStr">
        <is>
          <t>OK</t>
        </is>
      </c>
      <c r="G30" s="22" t="inlineStr">
        <is>
          <t>MODELLED</t>
        </is>
      </c>
    </row>
    <row r="31">
      <c r="A31" s="9" t="inlineStr">
        <is>
          <t>Apr 2028</t>
        </is>
      </c>
      <c r="B31" s="20" t="n">
        <v>97281</v>
      </c>
      <c r="C31" s="20" t="n"/>
      <c r="D31" s="20">
        <f>B31+C31</f>
        <v/>
      </c>
      <c r="E31" s="20">
        <f>E30+D31</f>
        <v/>
      </c>
      <c r="F31" s="21" t="inlineStr">
        <is>
          <t>OK</t>
        </is>
      </c>
      <c r="G31" s="22" t="inlineStr">
        <is>
          <t>MODELLED</t>
        </is>
      </c>
    </row>
    <row r="32">
      <c r="A32" s="9" t="inlineStr">
        <is>
          <t>May 2028</t>
        </is>
      </c>
      <c r="B32" s="20" t="n">
        <v>97281</v>
      </c>
      <c r="C32" s="20" t="n"/>
      <c r="D32" s="20">
        <f>B32+C32</f>
        <v/>
      </c>
      <c r="E32" s="20">
        <f>E31+D32</f>
        <v/>
      </c>
      <c r="F32" s="21" t="inlineStr">
        <is>
          <t>OK</t>
        </is>
      </c>
      <c r="G32" s="22" t="inlineStr">
        <is>
          <t>MODELLED</t>
        </is>
      </c>
    </row>
    <row r="33">
      <c r="A33" s="9" t="inlineStr">
        <is>
          <t>Jun 2028</t>
        </is>
      </c>
      <c r="B33" s="20" t="n">
        <v>97281</v>
      </c>
      <c r="C33" s="20" t="n"/>
      <c r="D33" s="20">
        <f>B33+C33</f>
        <v/>
      </c>
      <c r="E33" s="20">
        <f>E32+D33</f>
        <v/>
      </c>
      <c r="F33" s="21" t="inlineStr">
        <is>
          <t>OK</t>
        </is>
      </c>
      <c r="G33" s="22" t="inlineStr">
        <is>
          <t>MODELLED</t>
        </is>
      </c>
    </row>
    <row r="34">
      <c r="A34" s="9" t="inlineStr">
        <is>
          <t>Jul 2028</t>
        </is>
      </c>
      <c r="B34" s="20" t="n">
        <v>97281</v>
      </c>
      <c r="C34" s="20" t="n"/>
      <c r="D34" s="20">
        <f>B34+C34</f>
        <v/>
      </c>
      <c r="E34" s="20">
        <f>E33+D34</f>
        <v/>
      </c>
      <c r="F34" s="21" t="inlineStr">
        <is>
          <t>OK</t>
        </is>
      </c>
      <c r="G34" s="22" t="inlineStr">
        <is>
          <t>MODELLED</t>
        </is>
      </c>
    </row>
    <row r="35">
      <c r="A35" s="9" t="inlineStr">
        <is>
          <t>Aug 2028</t>
        </is>
      </c>
      <c r="B35" s="20" t="n">
        <v>97281</v>
      </c>
      <c r="C35" s="20" t="n"/>
      <c r="D35" s="20">
        <f>B35+C35</f>
        <v/>
      </c>
      <c r="E35" s="20">
        <f>E34+D35</f>
        <v/>
      </c>
      <c r="F35" s="21" t="inlineStr">
        <is>
          <t>OK</t>
        </is>
      </c>
      <c r="G35" s="22" t="inlineStr">
        <is>
          <t>MODELLED</t>
        </is>
      </c>
    </row>
    <row r="36">
      <c r="A36" s="9" t="inlineStr">
        <is>
          <t>Sep 2028</t>
        </is>
      </c>
      <c r="B36" s="20" t="n">
        <v>97281</v>
      </c>
      <c r="C36" s="20" t="n"/>
      <c r="D36" s="20">
        <f>B36+C36</f>
        <v/>
      </c>
      <c r="E36" s="20">
        <f>E35+D36</f>
        <v/>
      </c>
      <c r="F36" s="21" t="inlineStr">
        <is>
          <t>OK</t>
        </is>
      </c>
      <c r="G36" s="22" t="inlineStr">
        <is>
          <t>MODELLED</t>
        </is>
      </c>
    </row>
    <row r="37">
      <c r="A37" s="9" t="inlineStr">
        <is>
          <t>Oct 2028</t>
        </is>
      </c>
      <c r="B37" s="20" t="n">
        <v>97281</v>
      </c>
      <c r="C37" s="20" t="n"/>
      <c r="D37" s="20">
        <f>B37+C37</f>
        <v/>
      </c>
      <c r="E37" s="20">
        <f>E36+D37</f>
        <v/>
      </c>
      <c r="F37" s="21" t="inlineStr">
        <is>
          <t>OK</t>
        </is>
      </c>
      <c r="G37" s="22" t="inlineStr">
        <is>
          <t>MODELLED</t>
        </is>
      </c>
    </row>
    <row r="38">
      <c r="A38" s="9" t="inlineStr">
        <is>
          <t>Nov 2028</t>
        </is>
      </c>
      <c r="B38" s="20" t="n">
        <v>97281</v>
      </c>
      <c r="C38" s="20" t="n"/>
      <c r="D38" s="20">
        <f>B38+C38</f>
        <v/>
      </c>
      <c r="E38" s="20">
        <f>E37+D38</f>
        <v/>
      </c>
      <c r="F38" s="21" t="inlineStr">
        <is>
          <t>OK</t>
        </is>
      </c>
      <c r="G38" s="22" t="inlineStr">
        <is>
          <t>MODELLED</t>
        </is>
      </c>
    </row>
    <row r="39">
      <c r="A39" s="9" t="inlineStr">
        <is>
          <t>Dec 2028</t>
        </is>
      </c>
      <c r="B39" s="20" t="n">
        <v>97281</v>
      </c>
      <c r="C39" s="20" t="n"/>
      <c r="D39" s="20">
        <f>B39+C39</f>
        <v/>
      </c>
      <c r="E39" s="20">
        <f>E38+D39</f>
        <v/>
      </c>
      <c r="F39" s="21" t="inlineStr">
        <is>
          <t>OK</t>
        </is>
      </c>
      <c r="G39" s="22" t="inlineStr">
        <is>
          <t>MODELLED</t>
        </is>
      </c>
    </row>
    <row r="40">
      <c r="A40" s="9" t="inlineStr">
        <is>
          <t>Jan 2029</t>
        </is>
      </c>
      <c r="B40" s="20" t="n">
        <v>97281</v>
      </c>
      <c r="C40" s="20" t="n"/>
      <c r="D40" s="20">
        <f>B40+C40</f>
        <v/>
      </c>
      <c r="E40" s="20">
        <f>E39+D40</f>
        <v/>
      </c>
      <c r="F40" s="21" t="inlineStr">
        <is>
          <t>OK</t>
        </is>
      </c>
      <c r="G40" s="22" t="inlineStr">
        <is>
          <t>MODELLED</t>
        </is>
      </c>
    </row>
    <row r="41">
      <c r="A41" s="9" t="inlineStr">
        <is>
          <t>Feb 2029</t>
        </is>
      </c>
      <c r="B41" s="20" t="n">
        <v>97281</v>
      </c>
      <c r="C41" s="20" t="n"/>
      <c r="D41" s="20">
        <f>B41+C41</f>
        <v/>
      </c>
      <c r="E41" s="20">
        <f>E40+D41</f>
        <v/>
      </c>
      <c r="F41" s="21" t="inlineStr">
        <is>
          <t>OK</t>
        </is>
      </c>
      <c r="G41" s="22" t="inlineStr">
        <is>
          <t>MODELLED</t>
        </is>
      </c>
    </row>
    <row r="42">
      <c r="A42" s="9" t="inlineStr">
        <is>
          <t>Mar 2029</t>
        </is>
      </c>
      <c r="B42" s="20" t="n">
        <v>97281</v>
      </c>
      <c r="C42" s="20" t="n"/>
      <c r="D42" s="20">
        <f>B42+C42</f>
        <v/>
      </c>
      <c r="E42" s="20">
        <f>E41+D42</f>
        <v/>
      </c>
      <c r="F42" s="21" t="inlineStr">
        <is>
          <t>OK</t>
        </is>
      </c>
      <c r="G42" s="22" t="inlineStr">
        <is>
          <t>MODELLED</t>
        </is>
      </c>
    </row>
    <row r="43">
      <c r="A43" s="9" t="inlineStr">
        <is>
          <t>Apr 2029</t>
        </is>
      </c>
      <c r="B43" s="20" t="n">
        <v>97281</v>
      </c>
      <c r="C43" s="20" t="n"/>
      <c r="D43" s="20">
        <f>B43+C43</f>
        <v/>
      </c>
      <c r="E43" s="20">
        <f>E42+D43</f>
        <v/>
      </c>
      <c r="F43" s="21" t="inlineStr">
        <is>
          <t>OK</t>
        </is>
      </c>
      <c r="G43" s="22" t="inlineStr">
        <is>
          <t>MODELLED</t>
        </is>
      </c>
    </row>
    <row r="45">
      <c r="A45" s="36" t="inlineStr">
        <is>
          <t>Capital injection mapping (Day 8 — probability-weighted, NOT committed cash):</t>
        </is>
      </c>
    </row>
    <row r="46">
      <c r="A46" s="6" t="inlineStr">
        <is>
          <t>Month</t>
        </is>
      </c>
      <c r="B46" s="6" t="inlineStr">
        <is>
          <t>Instrument</t>
        </is>
      </c>
      <c r="C46" s="6" t="inlineStr">
        <is>
          <t>Amount</t>
        </is>
      </c>
      <c r="D46" s="6" t="inlineStr">
        <is>
          <t>Probability</t>
        </is>
      </c>
      <c r="E46" s="6" t="inlineStr">
        <is>
          <t>Status</t>
        </is>
      </c>
    </row>
    <row r="47" ht="24" customHeight="1">
      <c r="A47" s="9" t="inlineStr">
        <is>
          <t>Sep 2026</t>
        </is>
      </c>
      <c r="B47" s="12" t="inlineStr">
        <is>
          <t>QBE Catalysing Impact match</t>
        </is>
      </c>
      <c r="C47" s="20" t="n">
        <v>400000</v>
      </c>
      <c r="D47" s="12" t="inlineStr">
        <is>
          <t>90% IF match raised first</t>
        </is>
      </c>
      <c r="E47" s="22" t="inlineStr">
        <is>
          <t>MODELLED / match-contingent</t>
        </is>
      </c>
    </row>
    <row r="48" ht="24" customHeight="1">
      <c r="A48" s="9" t="inlineStr">
        <is>
          <t>Nov 2026</t>
        </is>
      </c>
      <c r="B48" s="12" t="inlineStr">
        <is>
          <t>SEFA working-capital loan (BOLD)</t>
        </is>
      </c>
      <c r="C48" s="20" t="n">
        <v>300000</v>
      </c>
      <c r="D48" s="12" t="inlineStr">
        <is>
          <t>70% — LOI/term sheet in flight</t>
        </is>
      </c>
      <c r="E48" s="22" t="inlineStr">
        <is>
          <t>MODELLED</t>
        </is>
      </c>
    </row>
    <row r="49" ht="24" customHeight="1">
      <c r="A49" s="9" t="inlineStr">
        <is>
          <t>Jan 2027</t>
        </is>
      </c>
      <c r="B49" s="12" t="inlineStr">
        <is>
          <t>Anchor philanthropic raise</t>
        </is>
      </c>
      <c r="C49" s="20" t="n">
        <v>500000</v>
      </c>
      <c r="D49" s="12" t="inlineStr">
        <is>
          <t>50% — conversations in flight</t>
        </is>
      </c>
      <c r="E49" s="22" t="inlineStr">
        <is>
          <t>MODELLED</t>
        </is>
      </c>
    </row>
    <row r="51" ht="28" customHeight="1">
      <c r="A51" s="26" t="inlineStr">
        <is>
          <t>QBE is an OUTPUT of the stack, not an input: Goods must raise ~$400K to unlock the $400K match. v0.2 note: the opening cash is the ACT-accounts carve-out (shared NAB Visa ACT + ACT Everyday), so the trough depth is most sensitive to that carve-out figure, not to any payables overhang (AP ≈ $0).</t>
        </is>
      </c>
    </row>
    <row r="53">
      <c r="A53" s="36" t="inlineStr">
        <is>
          <t>OPENING-CASH SENSITIVITY (Day 6) — illustrates how the dial moves the trough:</t>
        </is>
      </c>
    </row>
    <row r="54">
      <c r="A54" s="6" t="inlineStr">
        <is>
          <t>Opening cash</t>
        </is>
      </c>
      <c r="B54" s="6" t="inlineStr">
        <is>
          <t>Trough cash</t>
        </is>
      </c>
      <c r="C54" s="6" t="inlineStr">
        <is>
          <t>Trough month</t>
        </is>
      </c>
      <c r="D54" s="6" t="inlineStr">
        <is>
          <t>Implication</t>
        </is>
      </c>
    </row>
    <row r="55">
      <c r="A55" s="20" t="n">
        <v>50000</v>
      </c>
      <c r="B55" s="37" t="n">
        <v>-94000</v>
      </c>
      <c r="C55" s="9" t="inlineStr">
        <is>
          <t>Aug 2026</t>
        </is>
      </c>
      <c r="D55" s="12" t="inlineStr">
        <is>
          <t>Insolvency without immediate capital</t>
        </is>
      </c>
    </row>
    <row r="56">
      <c r="A56" s="20" t="n">
        <v>100000</v>
      </c>
      <c r="B56" s="37" t="n">
        <v>-44000</v>
      </c>
      <c r="C56" s="9" t="inlineStr">
        <is>
          <t>Aug 2026</t>
        </is>
      </c>
      <c r="D56" s="12" t="inlineStr">
        <is>
          <t>Still insolvent; need capital by Sep</t>
        </is>
      </c>
    </row>
    <row r="57">
      <c r="A57" s="20" t="n">
        <v>200000</v>
      </c>
      <c r="B57" s="20" t="n">
        <v>56000</v>
      </c>
      <c r="C57" s="9" t="inlineStr">
        <is>
          <t>Aug 2026</t>
        </is>
      </c>
      <c r="D57" s="12" t="inlineStr">
        <is>
          <t>Survives but at risk; capital by Oct</t>
        </is>
      </c>
    </row>
    <row r="58">
      <c r="A58" s="20" t="n">
        <v>400000</v>
      </c>
      <c r="B58" s="20" t="n">
        <v>256000</v>
      </c>
      <c r="C58" s="9" t="inlineStr">
        <is>
          <t>Sep 2026</t>
        </is>
      </c>
      <c r="D58" s="12" t="inlineStr">
        <is>
          <t>Comfortable bridge to capital injections</t>
        </is>
      </c>
    </row>
  </sheetData>
  <mergeCells count="3">
    <mergeCell ref="A5:J5"/>
    <mergeCell ref="A4:J4"/>
    <mergeCell ref="A51:G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Stretch Bed cost ladder + unit economics (v6, 2026-05-29)</t>
        </is>
      </c>
    </row>
    <row r="2">
      <c r="A2" s="2" t="inlineStr">
        <is>
          <t>Marginal vs fixed reframing. Founder-time block driven by the day-rate dial. Price held flat $750 (VERIFIED).</t>
        </is>
      </c>
    </row>
    <row r="4">
      <c r="A4" s="3" t="inlineStr">
        <is>
          <t>MARGINAL COST PER BED (the bit a buyer pays for)</t>
        </is>
      </c>
    </row>
    <row r="5">
      <c r="A5" s="6" t="inlineStr">
        <is>
          <t>Path</t>
        </is>
      </c>
      <c r="B5" s="6" t="inlineStr">
        <is>
          <t>Direct materials</t>
        </is>
      </c>
      <c r="C5" s="6" t="inlineStr">
        <is>
          <t>Assembly</t>
        </is>
      </c>
      <c r="D5" s="6" t="inlineStr">
        <is>
          <t>Local freight</t>
        </is>
      </c>
      <c r="E5" s="6" t="inlineStr">
        <is>
          <t>Long-haul freight</t>
        </is>
      </c>
      <c r="F5" s="6" t="inlineStr">
        <is>
          <t>Marginal total</t>
        </is>
      </c>
      <c r="G5" s="6" t="inlineStr">
        <is>
          <t>Status</t>
        </is>
      </c>
    </row>
    <row r="6">
      <c r="A6" s="27" t="inlineStr">
        <is>
          <t>Defy-kit (today, no capex)</t>
        </is>
      </c>
      <c r="B6" s="23" t="n">
        <v>469.79</v>
      </c>
      <c r="C6" s="23" t="n">
        <v>40</v>
      </c>
      <c r="D6" s="23" t="n">
        <v>25</v>
      </c>
      <c r="E6" s="23" t="n">
        <v>150</v>
      </c>
      <c r="F6" s="23" t="n">
        <v>684.79</v>
      </c>
      <c r="G6" s="22" t="inlineStr">
        <is>
          <t>MODELLED (verified inputs)</t>
        </is>
      </c>
    </row>
    <row r="7">
      <c r="A7" s="27" t="inlineStr">
        <is>
          <t>Factory (future, in-house legs)</t>
        </is>
      </c>
      <c r="B7" s="23" t="n">
        <v>275.74</v>
      </c>
      <c r="C7" s="23" t="inlineStr">
        <is>
          <t>—</t>
        </is>
      </c>
      <c r="D7" s="23" t="inlineStr">
        <is>
          <t>—</t>
        </is>
      </c>
      <c r="E7" s="23" t="n">
        <v>150</v>
      </c>
      <c r="F7" s="23" t="n">
        <v>425.74</v>
      </c>
      <c r="G7" s="32" t="inlineStr">
        <is>
          <t>TARGET / future</t>
        </is>
      </c>
    </row>
    <row r="9" ht="28" customHeight="1">
      <c r="A9" s="26" t="inlineStr">
        <is>
          <t>Factory direct $275.74 = in-house legs $150 (plastic $55 + diesel $15 + labour $80) + steel $27 + canvas $93.50 + caps/screws/bolts. Defy margin captured by in-sourcing ≈ $289/bed.</t>
        </is>
      </c>
    </row>
    <row r="11">
      <c r="A11" s="3" t="inlineStr">
        <is>
          <t>IDIOT INDEX (current paid ÷ raw-material floor)</t>
        </is>
      </c>
    </row>
    <row r="12">
      <c r="A12" s="6" t="inlineStr">
        <is>
          <t>Element</t>
        </is>
      </c>
      <c r="B12" s="6" t="inlineStr">
        <is>
          <t>Raw floor</t>
        </is>
      </c>
      <c r="C12" s="6" t="inlineStr">
        <is>
          <t>Current paid</t>
        </is>
      </c>
      <c r="D12" s="6" t="inlineStr">
        <is>
          <t>Idiot index</t>
        </is>
      </c>
      <c r="E12" s="6" t="inlineStr">
        <is>
          <t>Biggest lever?</t>
        </is>
      </c>
      <c r="F12" s="6" t="inlineStr">
        <is>
          <t>Status</t>
        </is>
      </c>
    </row>
    <row r="13">
      <c r="A13" s="12" t="inlineStr">
        <is>
          <t>HDPE kit (Defy cut+finished)</t>
        </is>
      </c>
      <c r="B13" s="23" t="n">
        <v>40</v>
      </c>
      <c r="C13" s="23" t="n">
        <v>344.05</v>
      </c>
      <c r="D13" s="38" t="n">
        <v>8.6</v>
      </c>
      <c r="E13" s="35" t="inlineStr">
        <is>
          <t>YES</t>
        </is>
      </c>
      <c r="F13" s="21" t="inlineStr">
        <is>
          <t>VERIFIED</t>
        </is>
      </c>
    </row>
    <row r="14">
      <c r="A14" s="12" t="inlineStr">
        <is>
          <t>HDPE pre-pressed panel (alt)</t>
        </is>
      </c>
      <c r="B14" s="23" t="n">
        <v>40</v>
      </c>
      <c r="C14" s="23" t="n">
        <v>400</v>
      </c>
      <c r="D14" s="39" t="n">
        <v>10</v>
      </c>
      <c r="E14" s="9" t="inlineStr">
        <is>
          <t>avoid</t>
        </is>
      </c>
      <c r="F14" s="21" t="inlineStr">
        <is>
          <t>VERIFIED</t>
        </is>
      </c>
    </row>
    <row r="15">
      <c r="A15" s="12" t="inlineStr">
        <is>
          <t>Canvas (Centre Canvas)</t>
        </is>
      </c>
      <c r="B15" s="23" t="n">
        <v>38.5</v>
      </c>
      <c r="C15" s="23" t="n">
        <v>93.5</v>
      </c>
      <c r="D15" s="39" t="n">
        <v>2.4</v>
      </c>
      <c r="E15" s="9" t="inlineStr">
        <is>
          <t>no</t>
        </is>
      </c>
      <c r="F15" s="21" t="inlineStr">
        <is>
          <t>VERIFIED</t>
        </is>
      </c>
    </row>
    <row r="16">
      <c r="A16" s="12" t="inlineStr">
        <is>
          <t>Steel poles (DNA Steel)</t>
        </is>
      </c>
      <c r="B16" s="23" t="n">
        <v>12.67</v>
      </c>
      <c r="C16" s="23" t="n">
        <v>27</v>
      </c>
      <c r="D16" s="39" t="n">
        <v>2.1</v>
      </c>
      <c r="E16" s="9" t="inlineStr">
        <is>
          <t>no</t>
        </is>
      </c>
      <c r="F16" s="21" t="inlineStr">
        <is>
          <t>VERIFIED</t>
        </is>
      </c>
    </row>
    <row r="17">
      <c r="A17" s="12" t="inlineStr">
        <is>
          <t>End caps</t>
        </is>
      </c>
      <c r="B17" s="23" t="n">
        <v>2.6</v>
      </c>
      <c r="C17" s="23" t="n">
        <v>3.2</v>
      </c>
      <c r="D17" s="39" t="n">
        <v>1.2</v>
      </c>
      <c r="E17" s="9" t="inlineStr">
        <is>
          <t>no</t>
        </is>
      </c>
      <c r="F17" s="21" t="inlineStr">
        <is>
          <t>VERIFIED</t>
        </is>
      </c>
    </row>
    <row r="18">
      <c r="A18" s="12" t="inlineStr">
        <is>
          <t>Screws</t>
        </is>
      </c>
      <c r="B18" s="23" t="n">
        <v>1.04</v>
      </c>
      <c r="C18" s="23" t="n">
        <v>1.04</v>
      </c>
      <c r="D18" s="39" t="n">
        <v>1</v>
      </c>
      <c r="E18" s="9" t="inlineStr">
        <is>
          <t>no</t>
        </is>
      </c>
      <c r="F18" s="21" t="inlineStr">
        <is>
          <t>VERIFIED</t>
        </is>
      </c>
    </row>
    <row r="19">
      <c r="A19" s="12" t="inlineStr">
        <is>
          <t>Bolts</t>
        </is>
      </c>
      <c r="B19" s="23" t="n">
        <v>0.6</v>
      </c>
      <c r="C19" s="23" t="n">
        <v>1</v>
      </c>
      <c r="D19" s="39" t="n">
        <v>1.7</v>
      </c>
      <c r="E19" s="9" t="inlineStr">
        <is>
          <t>no</t>
        </is>
      </c>
      <c r="F19" s="32" t="inlineStr">
        <is>
          <t>INFERRED</t>
        </is>
      </c>
    </row>
    <row r="20">
      <c r="A20" s="12" t="inlineStr">
        <is>
          <t>Defy assembly labour</t>
        </is>
      </c>
      <c r="B20" s="23" t="n">
        <v>60</v>
      </c>
      <c r="C20" s="23" t="n">
        <v>55.95</v>
      </c>
      <c r="D20" s="39" t="n">
        <v>0.9</v>
      </c>
      <c r="E20" s="9" t="inlineStr">
        <is>
          <t>no</t>
        </is>
      </c>
      <c r="F20" s="21" t="inlineStr">
        <is>
          <t>VERIFIED</t>
        </is>
      </c>
    </row>
    <row r="22" ht="26" customHeight="1">
      <c r="A22" s="26" t="inlineStr">
        <is>
          <t>HDPE kit at 8.6x is THE lever: in-sourcing shred+press+CNC moves ~$194/bed and captures ~$289 Defy margin. Annual prize at 500 beds/yr ≈ $144,525.</t>
        </is>
      </c>
    </row>
    <row r="24">
      <c r="A24" s="3" t="inlineStr">
        <is>
          <t>ANNUAL FIXED BLOCK (founder production line = day-rate dial × production-days dial)</t>
        </is>
      </c>
    </row>
    <row r="25">
      <c r="A25" s="6" t="inlineStr">
        <is>
          <t>Line</t>
        </is>
      </c>
      <c r="B25" s="6" t="inlineStr">
        <is>
          <t>Amount/yr</t>
        </is>
      </c>
      <c r="C25" s="6" t="inlineStr">
        <is>
          <t>Status</t>
        </is>
      </c>
      <c r="D25" s="6" t="inlineStr">
        <is>
          <t>Note</t>
        </is>
      </c>
    </row>
    <row r="26">
      <c r="A26" s="10" t="inlineStr">
        <is>
          <t>Kirmos facility (50% of $4,500/mo)</t>
        </is>
      </c>
      <c r="B26" s="20" t="n">
        <v>27000</v>
      </c>
      <c r="C26" s="22" t="inlineStr">
        <is>
          <t>MODELLED</t>
        </is>
      </c>
      <c r="D26" s="12" t="inlineStr">
        <is>
          <t>50% split estimate; confirm beds-vs-other with Nic.</t>
        </is>
      </c>
    </row>
    <row r="27" ht="30" customHeight="1">
      <c r="A27" s="10" t="inlineStr">
        <is>
          <t>Founder production time</t>
        </is>
      </c>
      <c r="B27" s="31">
        <f>'README &amp; Assumptions'!$B$15*'README &amp; Assumptions'!$B$16</f>
        <v/>
      </c>
      <c r="C27" s="22" t="inlineStr">
        <is>
          <t>MODELLED</t>
        </is>
      </c>
      <c r="D27" s="12" t="inlineStr">
        <is>
          <t>DIAL-DRIVEN &amp; LOCKED 2026-05-29: day-rate (README!B15 $560) x production-days (README!B16, 30 of 150) = $16,800/yr. Supersedes v6 $1,000x30=$30,000. ONLY founder share in the bed fixed block.</t>
        </is>
      </c>
    </row>
    <row r="28">
      <c r="A28" s="10" t="inlineStr">
        <is>
          <t>Admin</t>
        </is>
      </c>
      <c r="B28" s="20" t="n">
        <v>14700</v>
      </c>
      <c r="C28" s="22" t="inlineStr">
        <is>
          <t>MODELLED</t>
        </is>
      </c>
      <c r="D28" s="12" t="inlineStr">
        <is>
          <t>Not itemised; tie to actual admin spend.</t>
        </is>
      </c>
    </row>
    <row r="29">
      <c r="A29" s="10" t="inlineStr">
        <is>
          <t>Field travel</t>
        </is>
      </c>
      <c r="B29" s="20" t="n">
        <v>51000</v>
      </c>
      <c r="C29" s="22" t="inlineStr">
        <is>
          <t>MODELLED</t>
        </is>
      </c>
      <c r="D29" s="12" t="inlineStr">
        <is>
          <t>Lumpy relationship cost; treat as fixed block, not per-bed.</t>
        </is>
      </c>
    </row>
    <row r="30" ht="30" customHeight="1">
      <c r="A30" s="24">
        <f> Total annual fixed block</f>
        <v/>
      </c>
      <c r="B30" s="25">
        <f>B26+B27+B28+B29</f>
        <v/>
      </c>
      <c r="C30" s="22" t="inlineStr">
        <is>
          <t>MODELLED</t>
        </is>
      </c>
      <c r="D30" s="27" t="inlineStr">
        <is>
          <t>v6 published $122,700 at $1,000/day. At the LOCKED $560/day the founder line = $16,800, so total fixed block ~ $109,500 (locked basis). Cell moves with the dials.</t>
        </is>
      </c>
    </row>
    <row r="31" ht="28" customHeight="1">
      <c r="A31" s="26" t="inlineStr">
        <is>
          <t>LOCKED 2026-05-29: founder block = day-rate $560 x 30 production days = $16,800/yr. Deliberately EXCLUDED from unit cost: fundraising (50) / commercialisation (25) / governance (45) days = $67,200/yr — only the 30 production days (of 150 total) touch per-bed cost.</t>
        </is>
      </c>
    </row>
    <row r="33">
      <c r="A33" s="3" t="inlineStr">
        <is>
          <t>BREAKEVEN VOLUME (price $750 held flat)</t>
        </is>
      </c>
    </row>
    <row r="34">
      <c r="A34" s="6" t="inlineStr">
        <is>
          <t>Path</t>
        </is>
      </c>
      <c r="B34" s="6" t="inlineStr">
        <is>
          <t>Price</t>
        </is>
      </c>
      <c r="C34" s="6" t="inlineStr">
        <is>
          <t>Marginal</t>
        </is>
      </c>
      <c r="D34" s="6" t="inlineStr">
        <is>
          <t>Contribution</t>
        </is>
      </c>
      <c r="E34" s="6" t="inlineStr">
        <is>
          <t>Fixed block</t>
        </is>
      </c>
      <c r="F34" s="6" t="inlineStr">
        <is>
          <t>Breakeven beds/yr</t>
        </is>
      </c>
      <c r="G34" s="6" t="inlineStr">
        <is>
          <t>Status</t>
        </is>
      </c>
    </row>
    <row r="35">
      <c r="A35" s="7" t="inlineStr">
        <is>
          <t>Factory path</t>
        </is>
      </c>
      <c r="B35" s="20" t="n">
        <v>750</v>
      </c>
      <c r="C35" s="23" t="n">
        <v>425.74</v>
      </c>
      <c r="D35" s="23">
        <f>B35-C35</f>
        <v/>
      </c>
      <c r="E35" s="20">
        <f>B30</f>
        <v/>
      </c>
      <c r="F35" s="40">
        <f>ROUND(E35/D35,0)</f>
        <v/>
      </c>
      <c r="G35" s="22" t="inlineStr">
        <is>
          <t>MODELLED</t>
        </is>
      </c>
    </row>
    <row r="36">
      <c r="A36" s="7" t="inlineStr">
        <is>
          <t>Defy-kit path</t>
        </is>
      </c>
      <c r="B36" s="20" t="n">
        <v>750</v>
      </c>
      <c r="C36" s="23" t="n">
        <v>684.79</v>
      </c>
      <c r="D36" s="23">
        <f>B36-C36</f>
        <v/>
      </c>
      <c r="E36" s="20">
        <f>B30</f>
        <v/>
      </c>
      <c r="F36" s="40">
        <f>ROUND(E36/D36,0)</f>
        <v/>
      </c>
      <c r="G36" s="22" t="inlineStr">
        <is>
          <t>MODELLED</t>
        </is>
      </c>
    </row>
    <row r="37" ht="40" customHeight="1">
      <c r="A37" s="26" t="inlineStr">
        <is>
          <t>Published anchors: factory breakeven ≈ 378 beds/yr (contribution $324); Defy-kit ≈ 1,882 beds/yr (contribution only $65 — bought-in path cannot cover fixed costs; in-sourcing closes the economics). Cells recompute off the fixed-block dial → factory breakeven band ≈ 338–378.</t>
        </is>
      </c>
    </row>
    <row r="39">
      <c r="A39" s="3" t="inlineStr">
        <is>
          <t>COST-DOWN TRAJECTORY</t>
        </is>
      </c>
    </row>
    <row r="40">
      <c r="A40" s="6" t="inlineStr">
        <is>
          <t>Stage</t>
        </is>
      </c>
      <c r="B40" s="6" t="inlineStr">
        <is>
          <t>Trigger</t>
        </is>
      </c>
      <c r="C40" s="6" t="inlineStr">
        <is>
          <t>Plastic legs/bed</t>
        </is>
      </c>
      <c r="D40" s="6" t="inlineStr">
        <is>
          <t>Direct total</t>
        </is>
      </c>
      <c r="E40" s="6" t="inlineStr">
        <is>
          <t>Marginal w/ freight</t>
        </is>
      </c>
      <c r="F40" s="6" t="inlineStr">
        <is>
          <t>Status</t>
        </is>
      </c>
    </row>
    <row r="41" ht="28" customHeight="1">
      <c r="A41" s="27" t="inlineStr">
        <is>
          <t>0 — Defy kits</t>
        </is>
      </c>
      <c r="B41" s="12" t="inlineStr">
        <is>
          <t>today ~100/yr, no plant</t>
        </is>
      </c>
      <c r="C41" s="23" t="n">
        <v>344.05</v>
      </c>
      <c r="D41" s="23" t="n">
        <v>469.79</v>
      </c>
      <c r="E41" s="20" t="n">
        <v>685</v>
      </c>
      <c r="F41" s="21" t="inlineStr">
        <is>
          <t>VERIFIED</t>
        </is>
      </c>
    </row>
    <row r="42" ht="28" customHeight="1">
      <c r="A42" s="27" t="inlineStr">
        <is>
          <t>1 — In-source assembly</t>
        </is>
      </c>
      <c r="B42" s="12" t="inlineStr">
        <is>
          <t>~150–300/yr, $2K bench</t>
        </is>
      </c>
      <c r="C42" s="23" t="n">
        <v>344.05</v>
      </c>
      <c r="D42" s="23" t="n">
        <v>469.79</v>
      </c>
      <c r="E42" s="20" t="n">
        <v>660</v>
      </c>
      <c r="F42" s="32" t="inlineStr">
        <is>
          <t>TARGET</t>
        </is>
      </c>
    </row>
    <row r="43" ht="28" customHeight="1">
      <c r="A43" s="27" t="inlineStr">
        <is>
          <t>2 — In-source press+CNC (factory)</t>
        </is>
      </c>
      <c r="B43" s="12" t="inlineStr">
        <is>
          <t>~300–500/yr, $90–200K capex</t>
        </is>
      </c>
      <c r="C43" s="23" t="n">
        <v>150</v>
      </c>
      <c r="D43" s="23" t="n">
        <v>275.74</v>
      </c>
      <c r="E43" s="20" t="n">
        <v>426</v>
      </c>
      <c r="F43" s="32" t="inlineStr">
        <is>
          <t>TARGET / future</t>
        </is>
      </c>
    </row>
    <row r="44" ht="28" customHeight="1">
      <c r="A44" s="27" t="inlineStr">
        <is>
          <t>3 — Community + free waste plastic</t>
        </is>
      </c>
      <c r="B44" s="12" t="inlineStr">
        <is>
          <t>~1,000/yr, CDP labour + council feedstock</t>
        </is>
      </c>
      <c r="C44" s="23" t="n">
        <v>27</v>
      </c>
      <c r="D44" s="23" t="n">
        <v>140.74</v>
      </c>
      <c r="E44" s="20" t="n">
        <v>291</v>
      </c>
      <c r="F44" s="32" t="inlineStr">
        <is>
          <t>FUTURE</t>
        </is>
      </c>
    </row>
  </sheetData>
  <mergeCells count="4">
    <mergeCell ref="A22:F22"/>
    <mergeCell ref="A31:D31"/>
    <mergeCell ref="A37:G37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Scenarios — Base / Upside / Downside (Day 9)</t>
        </is>
      </c>
    </row>
    <row r="2">
      <c r="A2" s="2" t="inlineStr">
        <is>
          <t>MODELLED. The cash trough appears in ALL THREE scenarios — depth/timing varies with the opening ACT-accounts carve-out + capital timing. v0.2: opening position has NO working-capital squeeze (AP ≈ $0, AR $82,500 genuinely owed).</t>
        </is>
      </c>
    </row>
    <row r="4">
      <c r="A4" s="6" t="inlineStr">
        <is>
          <t>Metric</t>
        </is>
      </c>
      <c r="B4" s="6" t="inlineStr">
        <is>
          <t>Downside</t>
        </is>
      </c>
      <c r="C4" s="6" t="inlineStr">
        <is>
          <t>Base</t>
        </is>
      </c>
      <c r="D4" s="6" t="inlineStr">
        <is>
          <t>Upside</t>
        </is>
      </c>
      <c r="E4" s="6" t="inlineStr">
        <is>
          <t>Status</t>
        </is>
      </c>
    </row>
    <row r="5">
      <c r="A5" s="27" t="inlineStr">
        <is>
          <t>Opening cash (ACT-accounts carve-out)</t>
        </is>
      </c>
      <c r="B5" s="20" t="n">
        <v>30000</v>
      </c>
      <c r="C5" s="20" t="n">
        <v>50000</v>
      </c>
      <c r="D5" s="20" t="n">
        <v>100000</v>
      </c>
      <c r="E5" s="22" t="inlineStr">
        <is>
          <t>MODELLED</t>
        </is>
      </c>
    </row>
    <row r="6">
      <c r="A6" s="27" t="inlineStr">
        <is>
          <t>Cash first negative</t>
        </is>
      </c>
      <c r="B6" s="9" t="inlineStr">
        <is>
          <t>May 2026</t>
        </is>
      </c>
      <c r="C6" s="9" t="inlineStr">
        <is>
          <t>Jun 2026</t>
        </is>
      </c>
      <c r="D6" s="9" t="inlineStr">
        <is>
          <t>Aug 2026</t>
        </is>
      </c>
      <c r="E6" s="22" t="inlineStr">
        <is>
          <t>MODELLED</t>
        </is>
      </c>
    </row>
    <row r="7">
      <c r="A7" s="27" t="inlineStr">
        <is>
          <t>Trough (worst cash)</t>
        </is>
      </c>
      <c r="B7" s="20" t="n">
        <v>-171000</v>
      </c>
      <c r="C7" s="20" t="n">
        <v>-94000</v>
      </c>
      <c r="D7" s="20" t="n">
        <v>-15000</v>
      </c>
      <c r="E7" s="22" t="inlineStr">
        <is>
          <t>MODELLED</t>
        </is>
      </c>
    </row>
    <row r="8">
      <c r="A8" s="27" t="inlineStr">
        <is>
          <t>Trough month</t>
        </is>
      </c>
      <c r="B8" s="9" t="inlineStr">
        <is>
          <t>Nov 2026</t>
        </is>
      </c>
      <c r="C8" s="9" t="inlineStr">
        <is>
          <t>Aug 2026</t>
        </is>
      </c>
      <c r="D8" s="9" t="inlineStr">
        <is>
          <t>Aug 2026</t>
        </is>
      </c>
      <c r="E8" s="22" t="inlineStr">
        <is>
          <t>MODELLED</t>
        </is>
      </c>
    </row>
    <row r="9">
      <c r="A9" s="27" t="inlineStr">
        <is>
          <t>Capital injections total</t>
        </is>
      </c>
      <c r="B9" s="20" t="n">
        <v>650000</v>
      </c>
      <c r="C9" s="20" t="n">
        <v>1200000</v>
      </c>
      <c r="D9" s="20" t="n">
        <v>3540000</v>
      </c>
      <c r="E9" s="22" t="inlineStr">
        <is>
          <t>MODELLED</t>
        </is>
      </c>
    </row>
    <row r="10">
      <c r="A10" s="27" t="inlineStr">
        <is>
          <t>Year 1 (FY27) revenue</t>
        </is>
      </c>
      <c r="B10" s="20" t="n">
        <v>690000</v>
      </c>
      <c r="C10" s="20" t="n">
        <v>1130000</v>
      </c>
      <c r="D10" s="20" t="n">
        <v>1580000</v>
      </c>
      <c r="E10" s="22" t="inlineStr">
        <is>
          <t>MODELLED</t>
        </is>
      </c>
    </row>
    <row r="11">
      <c r="A11" s="27" t="inlineStr">
        <is>
          <t>Year 1 close cash</t>
        </is>
      </c>
      <c r="B11" s="20" t="n">
        <v>0</v>
      </c>
      <c r="C11" s="20" t="n">
        <v>992000</v>
      </c>
      <c r="D11" s="20" t="n">
        <v>2200000</v>
      </c>
      <c r="E11" s="22" t="inlineStr">
        <is>
          <t>MODELLED</t>
        </is>
      </c>
    </row>
    <row r="12">
      <c r="A12" s="27" t="inlineStr">
        <is>
          <t>Year 3 close cash (36mo)</t>
        </is>
      </c>
      <c r="B12" s="20" t="n">
        <v>867000</v>
      </c>
      <c r="C12" s="20" t="n">
        <v>3327100</v>
      </c>
      <c r="D12" s="20" t="n">
        <v>7960000</v>
      </c>
      <c r="E12" s="22" t="inlineStr">
        <is>
          <t>MODELLED</t>
        </is>
      </c>
    </row>
    <row r="13">
      <c r="A13" s="27" t="inlineStr">
        <is>
          <t>Probability of scenario</t>
        </is>
      </c>
      <c r="B13" s="29" t="n">
        <v>0.3</v>
      </c>
      <c r="C13" s="29" t="n">
        <v>0.3</v>
      </c>
      <c r="D13" s="29" t="n">
        <v>0.125</v>
      </c>
      <c r="E13" s="22" t="inlineStr">
        <is>
          <t>MODELLED</t>
        </is>
      </c>
    </row>
    <row r="15">
      <c r="A15" s="3" t="inlineStr">
        <is>
          <t>DEFINITIONS</t>
        </is>
      </c>
    </row>
    <row r="16" ht="40" customHeight="1">
      <c r="A16" s="41" t="inlineStr">
        <is>
          <t>Base</t>
        </is>
      </c>
      <c r="B16" s="12" t="inlineStr">
        <is>
          <t>Day 5 segment midpoints; QBE $400K Sep-26 + SEFA $300K Nov-26 + anchor $500K Jan-27; COGS 70%→45%; founder Mid ($140K/yr).</t>
        </is>
      </c>
      <c r="C16" s="15" t="n"/>
      <c r="D16" s="15" t="n"/>
      <c r="E16" s="16" t="n"/>
    </row>
    <row r="17" ht="40" customHeight="1">
      <c r="A17" s="41" t="inlineStr">
        <is>
          <t>Upside</t>
        </is>
      </c>
      <c r="B17" s="12" t="inlineStr">
        <is>
          <t>Ramps ~40% above midpoint; +Butterfly DGR $200K Y1 +PFI $640K +Minderoo $1.5M; SEFA/anchor ~3mo earlier; COGS 68%→40%.</t>
        </is>
      </c>
      <c r="C17" s="15" t="n"/>
      <c r="D17" s="15" t="n"/>
      <c r="E17" s="16" t="n"/>
    </row>
    <row r="18" ht="40" customHeight="1">
      <c r="A18" s="41" t="inlineStr">
        <is>
          <t>Downside</t>
        </is>
      </c>
      <c r="B18" s="12" t="inlineStr">
        <is>
          <t>Ramps ~40% below; QBE cut to $200K &amp; slipped to Dec-26; SEFA $150K; anchor $300K Q2-27; founder All-in ($210K/yr); hires deferred.</t>
        </is>
      </c>
      <c r="C18" s="15" t="n"/>
      <c r="D18" s="15" t="n"/>
      <c r="E18" s="16" t="n"/>
    </row>
    <row r="20" ht="40" customHeight="1">
      <c r="A20" s="26" t="inlineStr">
        <is>
          <t>Honest investor story: structurally cash-tight May→Sep 2026; the $1.2M stack exists to bridge the trough; viable past Year 1 in all three; even downside closes Year 3 at $867K (survivable, not catastrophic).</t>
        </is>
      </c>
    </row>
  </sheetData>
  <mergeCells count="4">
    <mergeCell ref="B17:E17"/>
    <mergeCell ref="B18:E18"/>
    <mergeCell ref="A20:E20"/>
    <mergeCell ref="B16:E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  <col width="44" customWidth="1" min="5" max="5"/>
  </cols>
  <sheetData>
    <row r="1">
      <c r="A1" s="1" t="inlineStr">
        <is>
          <t>Exact founder/accountant inputs still needed to CLOSE the model</t>
        </is>
      </c>
    </row>
    <row r="2">
      <c r="A2" s="2" t="inlineStr">
        <is>
          <t>These are the gates. UPDATE 2026-05-29: day-rate (#2) and founder FTE/split (#3) are LOCKED by Ben (day-rate $560/day, 150 days/yr split 30/50/25/45). Opening cash (#1) is held at $50K as a working figure; the ACT-accounts carve-out and all accountant items (#4-#11) are being handled in a separate finance chat. Until those close, the model stays a v0.2 workpaper.</t>
        </is>
      </c>
    </row>
    <row r="4">
      <c r="A4" s="6" t="inlineStr">
        <is>
          <t>#</t>
        </is>
      </c>
      <c r="B4" s="6" t="inlineStr">
        <is>
          <t>Input needed</t>
        </is>
      </c>
      <c r="C4" s="6" t="inlineStr">
        <is>
          <t>Default in model</t>
        </is>
      </c>
      <c r="D4" s="6" t="inlineStr">
        <is>
          <t>Owner</t>
        </is>
      </c>
      <c r="E4" s="6" t="inlineStr">
        <is>
          <t>Why it gates</t>
        </is>
      </c>
      <c r="F4" s="36" t="inlineStr">
        <is>
          <t>Status (2026-05-29)</t>
        </is>
      </c>
    </row>
    <row r="5" ht="34" customHeight="1">
      <c r="A5" s="41" t="n">
        <v>1</v>
      </c>
      <c r="B5" s="12" t="inlineStr">
        <is>
          <t>Opening cash @ 1 May 2026 — ACT-accounts carve-out (NAB Visa ACT + ACT Everyday attributable to Goods)</t>
        </is>
      </c>
      <c r="C5" s="42" t="inlineStr">
        <is>
          <t>$50,000 PLACEHOLDER</t>
        </is>
      </c>
      <c r="D5" s="9" t="inlineStr">
        <is>
          <t>Ben</t>
        </is>
      </c>
      <c r="E5" s="12" t="inlineStr">
        <is>
          <t>Single biggest unknown — re-bases the entire cashflow trough. Shared ACT accounts; needs a Goods carve-out.</t>
        </is>
      </c>
      <c r="F5" t="inlineStr">
        <is>
          <t>WORKING — opening cash held $50K, ACT-accounts carve-out deferred to finance chat</t>
        </is>
      </c>
    </row>
    <row r="6" ht="34" customHeight="1">
      <c r="A6" s="41" t="n">
        <v>2</v>
      </c>
      <c r="B6" s="12" t="inlineStr">
        <is>
          <t>Founder day-rate (and reconcile $560 vs $1,000)</t>
        </is>
      </c>
      <c r="C6" s="42" t="inlineStr">
        <is>
          <t>$560/day (LOCKED 2026-05-29)</t>
        </is>
      </c>
      <c r="D6" s="9" t="inlineStr">
        <is>
          <t>Ben + Nic</t>
        </is>
      </c>
      <c r="E6" s="12" t="inlineStr">
        <is>
          <t>Drives founder-time P&amp;L line + annual fixed block + breakeven.</t>
        </is>
      </c>
      <c r="F6" s="49" t="inlineStr">
        <is>
          <t>DONE — day-rate LOCKED $560/day (2026-05-29, Ben)</t>
        </is>
      </c>
    </row>
    <row r="7" ht="34" customHeight="1">
      <c r="A7" s="41" t="n">
        <v>3</v>
      </c>
      <c r="B7" s="12" t="inlineStr">
        <is>
          <t>Ben &amp; Nic Goods FTE % (and production-days split)</t>
        </is>
      </c>
      <c r="C7" s="42" t="inlineStr">
        <is>
          <t>150 days/yr; 30 prod / 50 fund / 25 comm / 45 gov (LOCKED)</t>
        </is>
      </c>
      <c r="D7" s="9" t="inlineStr">
        <is>
          <t>Ben + Nic</t>
        </is>
      </c>
      <c r="E7" s="12" t="inlineStr">
        <is>
          <t>Sets which founder-time scenario is real; touches unit cost.</t>
        </is>
      </c>
      <c r="F7" s="49" t="inlineStr">
        <is>
          <t>DONE — FTE LOCKED 150 days/yr, 30/50/25/45 split (2026-05-29, Ben)</t>
        </is>
      </c>
    </row>
    <row r="8" ht="34" customHeight="1">
      <c r="A8" s="41" t="n">
        <v>4</v>
      </c>
      <c r="B8" s="12" t="inlineStr">
        <is>
          <t>ACT-GD revenue carve-out from ACT-ST</t>
        </is>
      </c>
      <c r="C8" s="42" t="inlineStr">
        <is>
          <t>Not carved out</t>
        </is>
      </c>
      <c r="D8" s="9" t="inlineStr">
        <is>
          <t>Accountant</t>
        </is>
      </c>
      <c r="E8" s="12" t="inlineStr">
        <is>
          <t>All revenue currently sits in ACT-ST incl. commercial — entity cleanliness.</t>
        </is>
      </c>
      <c r="F8" t="inlineStr">
        <is>
          <t>Remaining — finance chat (ACT-ST→ACT-GD carve-out)</t>
        </is>
      </c>
    </row>
    <row r="9" ht="34" customHeight="1">
      <c r="A9" s="41" t="n">
        <v>5</v>
      </c>
      <c r="B9" s="12" t="inlineStr">
        <is>
          <t>Expense classification + de-duplication (opex vs capex)</t>
        </is>
      </c>
      <c r="C9" s="42" t="inlineStr">
        <is>
          <t>Cash basis $309,126; capex ~$110,046 inside</t>
        </is>
      </c>
      <c r="D9" s="9" t="inlineStr">
        <is>
          <t>Accountant</t>
        </is>
      </c>
      <c r="E9" s="12" t="inlineStr">
        <is>
          <t>Single cash basis now ($323,106 spend − $13,980 washer). Need opex vs capex split inside it (capex ~$110,046).</t>
        </is>
      </c>
      <c r="F9" t="inlineStr">
        <is>
          <t>Remaining — finance chat (opex/capex split, accountant)</t>
        </is>
      </c>
    </row>
    <row r="10" ht="34" customHeight="1">
      <c r="A10" s="41" t="n">
        <v>6</v>
      </c>
      <c r="B10" s="12" t="inlineStr">
        <is>
          <t>Reconcile the AUTHORISED ACCPAY bills (apply existing ACT-account payments — do NOT pay again); void the Carla phantom ($11,180 duplicate bill); retag 1300 Washer to ACT-FM; confirm Defy INV-1507 status</t>
        </is>
      </c>
      <c r="C10" s="42" t="inlineStr">
        <is>
          <t>AP shows ~$124,878 AUTHORISED (matching gap)</t>
        </is>
      </c>
      <c r="D10" s="9" t="inlineStr">
        <is>
          <t>Accountant</t>
        </is>
      </c>
      <c r="E10" s="12" t="inlineStr">
        <is>
          <t>Clears the false AP/working-capital signal. These are matching/tagging fixes, not payments.</t>
        </is>
      </c>
      <c r="F10" t="inlineStr">
        <is>
          <t>Remaining — finance chat (apply payments, void Carla phantom, retag washer, Defy INV-1507)</t>
        </is>
      </c>
    </row>
    <row r="11" ht="34" customHeight="1">
      <c r="A11" s="41" t="n">
        <v>7</v>
      </c>
      <c r="B11" s="12" t="inlineStr">
        <is>
          <t>Inventory &amp; capex treatment (valuation + depreciation)</t>
        </is>
      </c>
      <c r="C11" s="42" t="inlineStr">
        <is>
          <t>Capex $110K invested; inventory unvalued</t>
        </is>
      </c>
      <c r="D11" s="9" t="inlineStr">
        <is>
          <t>Accountant</t>
        </is>
      </c>
      <c r="E11" s="12" t="inlineStr">
        <is>
          <t>Balance sheet won't balance without it.</t>
        </is>
      </c>
      <c r="F11" t="inlineStr">
        <is>
          <t>Remaining — finance chat (inventory valuation + depreciation)</t>
        </is>
      </c>
    </row>
    <row r="12" ht="34" customHeight="1">
      <c r="A12" s="41" t="n">
        <v>8</v>
      </c>
      <c r="B12" s="12" t="inlineStr">
        <is>
          <t>GST / BAS net position</t>
        </is>
      </c>
      <c r="C12" s="42" t="inlineStr">
        <is>
          <t>Not modelled</t>
        </is>
      </c>
      <c r="D12" s="9" t="inlineStr">
        <is>
          <t>Accountant</t>
        </is>
      </c>
      <c r="E12" s="12" t="inlineStr">
        <is>
          <t>Funder pages ex-GST vs Xero inc-GST — net GST TBC.</t>
        </is>
      </c>
      <c r="F12" t="inlineStr">
        <is>
          <t>Remaining — finance chat (GST/BAS net position)</t>
        </is>
      </c>
    </row>
    <row r="13" ht="34" customHeight="1">
      <c r="A13" s="41" t="n">
        <v>9</v>
      </c>
      <c r="B13" s="12" t="inlineStr">
        <is>
          <t>R&amp;D Tax Incentive refund treatment + timing</t>
        </is>
      </c>
      <c r="C13" s="42" t="inlineStr">
        <is>
          <t>~$80K/yr modelled</t>
        </is>
      </c>
      <c r="D13" s="9" t="inlineStr">
        <is>
          <t>Accountant</t>
        </is>
      </c>
      <c r="E13" s="12" t="inlineStr">
        <is>
          <t>Affects cashflow timing + Snow INV-0227 grant-vs-R&amp;D split.</t>
        </is>
      </c>
      <c r="F13" t="inlineStr">
        <is>
          <t>Remaining — finance chat (R&amp;D refund treatment + timing)</t>
        </is>
      </c>
    </row>
    <row r="14" ht="34" customHeight="1">
      <c r="A14" s="41" t="n">
        <v>10</v>
      </c>
      <c r="B14" s="12" t="inlineStr">
        <is>
          <t>Tag $94,500 of ACT-GD revenue currently UNTAGGED grant-vs-commercial</t>
        </is>
      </c>
      <c r="C14" s="42" t="inlineStr">
        <is>
          <t>$94,500 untagged</t>
        </is>
      </c>
      <c r="D14" s="9" t="inlineStr">
        <is>
          <t>Accountant</t>
        </is>
      </c>
      <c r="E14" s="12" t="inlineStr">
        <is>
          <t>Firms up the revenue-mix split (grant vs commercial) on the P&amp;L tab. NO director loan exists — verified $0 personal spend.</t>
        </is>
      </c>
      <c r="F14" t="inlineStr">
        <is>
          <t>Remaining — finance chat (tag $94,500 untagged grant-vs-commercial)</t>
        </is>
      </c>
    </row>
    <row r="15" ht="34" customHeight="1">
      <c r="A15" s="41" t="n">
        <v>11</v>
      </c>
      <c r="B15" s="12" t="inlineStr">
        <is>
          <t>Accountant/bookkeeper sign-off note</t>
        </is>
      </c>
      <c r="C15" s="42" t="inlineStr">
        <is>
          <t>None — management accounts</t>
        </is>
      </c>
      <c r="D15" s="9" t="inlineStr">
        <is>
          <t>Accountant</t>
        </is>
      </c>
      <c r="E15" s="12" t="inlineStr">
        <is>
          <t>Required before SEFA/IBA covenants and external diligence.</t>
        </is>
      </c>
      <c r="F15" t="inlineStr">
        <is>
          <t>Remaining — finance chat (accountant/bookkeeper Xero sign-off)</t>
        </is>
      </c>
    </row>
    <row r="17" ht="34" customHeight="1">
      <c r="A17" s="26" t="inlineStr">
        <is>
          <t>LOCKED 2026-05-29: founder day-rate $560/day + FTE 150 days/yr (30/50/25/45) = $84,000/yr founder cost (production share $16,800/yr). Remaining to unblock (separate finance chat): opening-cash ACT-accounts carve-out, opex/capex split, GST/BAS, R&amp;D treatment, ACT-ST→ACT-GD carve-out, the $94,500 untagged revenue split, reconcile AUTHORISED bills + void Carla phantom + retag washer, bookkeeper Xero cleanups.</t>
        </is>
      </c>
    </row>
  </sheetData>
  <mergeCells count="1"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2026-05-29T03:24:02Z</dcterms:created>
  <dcterms:modified xmlns:dcterms="http://purl.org/dc/terms/" xmlns:xsi="http://www.w3.org/2001/XMLSchema-instance" xsi:type="dcterms:W3CDTF">2026-05-29T04:25:50Z</dcterms:modified>
</cp:coreProperties>
</file>