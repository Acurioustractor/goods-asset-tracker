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Unit Cost" sheetId="2" state="visible" r:id="rId2"/>
    <sheet xmlns:r="http://schemas.openxmlformats.org/officeDocument/2006/relationships" name="Wages &amp; People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Balance Sheet &amp; WC" sheetId="6" state="visible" r:id="rId6"/>
    <sheet xmlns:r="http://schemas.openxmlformats.org/officeDocument/2006/relationships" name="Cashflow (36mo)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Use of Funds" sheetId="9" state="visible" r:id="rId9"/>
    <sheet xmlns:r="http://schemas.openxmlformats.org/officeDocument/2006/relationships" name="Assumptions &amp; Prove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&quot;x&quot;"/>
  </numFmts>
  <fonts count="8">
    <font>
      <name val="Calibri"/>
      <family val="2"/>
      <color theme="1"/>
      <sz val="11"/>
      <scheme val="minor"/>
    </font>
    <font>
      <b val="1"/>
      <color rgb="001F4E2C"/>
      <sz val="14"/>
    </font>
    <font>
      <i val="1"/>
      <color rgb="00555555"/>
      <sz val="9"/>
    </font>
    <font>
      <b val="1"/>
      <color rgb="00FFFFFF"/>
    </font>
    <font>
      <b val="1"/>
    </font>
    <font>
      <sz val="9"/>
    </font>
    <font>
      <b val="1"/>
      <sz val="9"/>
    </font>
    <font>
      <i val="1"/>
      <sz val="8"/>
    </font>
  </fonts>
  <fills count="8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6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1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/>
    </xf>
    <xf numFmtId="3" fontId="4" fillId="4" borderId="1" pivotButton="0" quotePrefix="0" xfId="0"/>
    <xf numFmtId="0" fontId="6" fillId="5" borderId="1" applyAlignment="1" pivotButton="0" quotePrefix="0" xfId="0">
      <alignment horizontal="center"/>
    </xf>
    <xf numFmtId="4" fontId="4" fillId="6" borderId="1" pivotButton="0" quotePrefix="0" xfId="0"/>
    <xf numFmtId="164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0" fillId="6" borderId="1" pivotButton="0" quotePrefix="0" xfId="0"/>
    <xf numFmtId="4" fontId="4" fillId="4" borderId="1" pivotButton="0" quotePrefix="0" xfId="0"/>
    <xf numFmtId="166" fontId="0" fillId="0" borderId="1" pivotButton="0" quotePrefix="0" xfId="0"/>
    <xf numFmtId="0" fontId="5" fillId="0" borderId="0" applyAlignment="1" pivotButton="0" quotePrefix="0" xfId="0">
      <alignment vertical="top" wrapText="1"/>
    </xf>
    <xf numFmtId="3" fontId="0" fillId="0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0" fillId="4" borderId="1" pivotButton="0" quotePrefix="0" xfId="0"/>
    <xf numFmtId="0" fontId="7" fillId="0" borderId="0" pivotButton="0" quotePrefix="0" xfId="0"/>
    <xf numFmtId="3" fontId="4" fillId="7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5" fillId="0" borderId="1" pivotButton="0" quotePrefix="0" xfId="0"/>
    <xf numFmtId="3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6" fillId="5" borderId="1" pivotButton="0" quotePrefix="0" xfId="0"/>
    <xf numFmtId="0" fontId="4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0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Goods on Country — Financial Model  ·  CONTROL PANEL</t>
        </is>
      </c>
    </row>
    <row r="2">
      <c r="A2" s="2" t="inlineStr">
        <is>
          <t>ONE place to play. Change a yellow dial below and every tab recomputes via formulas. Method dial (B6) selects which marginal cost feeds COGS via CHOOSE(). Built for QBE advisory (Matt) + investor review. Verified figures = live Xero mirror 2026-05-29; founder time, scale &amp; scenarios are MODELLED. v0.2-locked anchors matched exactly.</t>
        </is>
      </c>
    </row>
    <row r="3"/>
    <row r="4">
      <c r="A4" s="3" t="inlineStr">
        <is>
          <t>DIALS  —  yellow cells are the inputs you turn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Dial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</t>
        </is>
      </c>
      <c r="E5" s="5" t="inlineStr">
        <is>
          <t>Status</t>
        </is>
      </c>
    </row>
    <row r="6">
      <c r="A6" s="6" t="inlineStr">
        <is>
          <t>Volume — beds per year</t>
        </is>
      </c>
      <c r="B6" s="7" t="n">
        <v>500</v>
      </c>
      <c r="C6" s="6" t="inlineStr">
        <is>
          <t>beds/yr</t>
        </is>
      </c>
      <c r="D6" s="8" t="inlineStr">
        <is>
          <t>Forward annual production volume. Drives COGS, revenue, breakeven absorption, factory payback.</t>
        </is>
      </c>
      <c r="E6" s="9" t="inlineStr">
        <is>
          <t>MODELLED</t>
        </is>
      </c>
    </row>
    <row r="7">
      <c r="A7" s="6" t="inlineStr">
        <is>
          <t>Manufacturing method (1-4)</t>
        </is>
      </c>
      <c r="B7" s="7" t="n">
        <v>1</v>
      </c>
      <c r="C7" s="6" t="inlineStr">
        <is>
          <t>1=Kit 2=Panels 3=Factory 4=Community</t>
        </is>
      </c>
      <c r="D7" s="8" t="inlineStr">
        <is>
          <t>CHOOSE driver. 1 Buy-Kit (today, no capex) · 2 Buy-Panels (avoid) · 3 Factory in-house · 4 Community. Selects marginal cost from Unit Cost tab.</t>
        </is>
      </c>
      <c r="E7" s="9" t="inlineStr">
        <is>
          <t>MODELLED</t>
        </is>
      </c>
    </row>
    <row r="8">
      <c r="A8" s="6" t="inlineStr">
        <is>
          <t># containerised factories</t>
        </is>
      </c>
      <c r="B8" s="7" t="n">
        <v>0</v>
      </c>
      <c r="C8" s="6" t="inlineStr">
        <is>
          <t>units</t>
        </is>
      </c>
      <c r="D8" s="8" t="inlineStr">
        <is>
          <t>Each containerised plant unlocks in-house legs (method 3/4). Adds capex; cuts per-bed cost. 0 = buy Defy kits.</t>
        </is>
      </c>
      <c r="E8" s="9" t="inlineStr">
        <is>
          <t>MODELLED / TARGET</t>
        </is>
      </c>
    </row>
    <row r="9">
      <c r="A9" s="6" t="inlineStr">
        <is>
          <t>Founder day-rate</t>
        </is>
      </c>
      <c r="B9" s="10" t="n">
        <v>560</v>
      </c>
      <c r="C9" s="6" t="inlineStr">
        <is>
          <t>AUD/day</t>
        </is>
      </c>
      <c r="D9" s="8" t="inlineStr">
        <is>
          <t>LOCKED 2026-05-29 (Ben). $560/day = $140,000/yr at 250 days (Day-3 fair-market). Drives founder cost + fixed block.</t>
        </is>
      </c>
      <c r="E9" s="9" t="inlineStr">
        <is>
          <t>LOCKED</t>
        </is>
      </c>
    </row>
    <row r="10">
      <c r="A10" s="6" t="inlineStr">
        <is>
          <t>Founder days/yr (total)</t>
        </is>
      </c>
      <c r="B10" s="7" t="n">
        <v>150</v>
      </c>
      <c r="C10" s="6" t="inlineStr">
        <is>
          <t>days/yr</t>
        </is>
      </c>
      <c r="D10" s="8" t="inlineStr">
        <is>
          <t>LOCKED. 150 days x $560 = $84,000/yr founder cost. Split 30 prod / 50 fund / 25 comm / 45 gov.</t>
        </is>
      </c>
      <c r="E10" s="9" t="inlineStr">
        <is>
          <t>LOCKED</t>
        </is>
      </c>
    </row>
    <row r="11">
      <c r="A11" s="6" t="inlineStr">
        <is>
          <t>Founder production-days/yr</t>
        </is>
      </c>
      <c r="B11" s="7" t="n">
        <v>30</v>
      </c>
      <c r="C11" s="6" t="inlineStr">
        <is>
          <t>days/yr</t>
        </is>
      </c>
      <c r="D11" s="8" t="inlineStr">
        <is>
          <t>LOCKED. ONLY these 30 days touch unit cost = $16,800/yr in the bed fixed block. Other 120 days = cost-of-capital, not unit cost.</t>
        </is>
      </c>
      <c r="E11" s="9" t="inlineStr">
        <is>
          <t>LOCKED</t>
        </is>
      </c>
    </row>
    <row r="12">
      <c r="A12" s="6" t="inlineStr">
        <is>
          <t>Opening cash @ 1 May 2026</t>
        </is>
      </c>
      <c r="B12" s="10" t="n">
        <v>50000</v>
      </c>
      <c r="C12" s="6" t="inlineStr">
        <is>
          <t>AUD</t>
        </is>
      </c>
      <c r="D12" s="8" t="inlineStr">
        <is>
          <t>WORKING figure, pending the ACT-accounts carve-out (NAB Visa ACT + ACT Everyday attributable to Goods). Re-bases the entire cashflow trough.</t>
        </is>
      </c>
      <c r="E12" s="11" t="inlineStr">
        <is>
          <t>WORKING</t>
        </is>
      </c>
    </row>
    <row r="13">
      <c r="A13" s="6" t="inlineStr">
        <is>
          <t>Retail / institutional price per bed</t>
        </is>
      </c>
      <c r="B13" s="10" t="n">
        <v>750</v>
      </c>
      <c r="C13" s="6" t="inlineStr">
        <is>
          <t>AUD</t>
        </is>
      </c>
      <c r="D13" s="8" t="inlineStr">
        <is>
          <t>VERIFIED — shop stretch-bed-single. Unified website price (2026-05-26).</t>
        </is>
      </c>
      <c r="E13" s="9" t="inlineStr">
        <is>
          <t>VERIFIED</t>
        </is>
      </c>
    </row>
    <row r="14">
      <c r="A14" s="6" t="inlineStr">
        <is>
          <t>Long-haul freight per bed</t>
        </is>
      </c>
      <c r="B14" s="10" t="n">
        <v>150</v>
      </c>
      <c r="C14" s="6" t="inlineStr">
        <is>
          <t>AUD/bed</t>
        </is>
      </c>
      <c r="D14" s="8" t="inlineStr">
        <is>
          <t>Variable, per-bed (corrected from overhead in v6). Remote delivery to community.</t>
        </is>
      </c>
      <c r="E14" s="9" t="inlineStr">
        <is>
          <t>MODELLED</t>
        </is>
      </c>
    </row>
    <row r="15"/>
    <row r="16">
      <c r="A16" s="3" t="inlineStr">
        <is>
          <t>HEADLINE OUTPUTS  —  live formulas off the dials (do not type here)</t>
        </is>
      </c>
      <c r="B16" s="4" t="n"/>
      <c r="C16" s="4" t="n"/>
      <c r="D16" s="4" t="n"/>
      <c r="E16" s="4" t="n"/>
      <c r="F16" s="4" t="n"/>
      <c r="G16" s="4" t="n"/>
    </row>
    <row r="17">
      <c r="A17" s="5" t="inlineStr">
        <is>
          <t>Output</t>
        </is>
      </c>
      <c r="B17" s="5" t="inlineStr">
        <is>
          <t>Value</t>
        </is>
      </c>
      <c r="C17" s="5" t="inlineStr">
        <is>
          <t>Unit</t>
        </is>
      </c>
      <c r="D17" s="5" t="inlineStr">
        <is>
          <t>How it is computed</t>
        </is>
      </c>
      <c r="E17" s="5" t="inlineStr">
        <is>
          <t>Status</t>
        </is>
      </c>
    </row>
    <row r="18">
      <c r="A18" s="6" t="inlineStr">
        <is>
          <t>Selected marginal cost per bed</t>
        </is>
      </c>
      <c r="B18" s="12">
        <f>CHOOSE($B$7,'Unit Cost'!$F$25,'Unit Cost'!$F$26,'Unit Cost'!$F$27,'Unit Cost'!$F$28)</f>
        <v/>
      </c>
      <c r="C18" s="6" t="inlineStr">
        <is>
          <t>AUD/bed</t>
        </is>
      </c>
      <c r="D18" s="8" t="inlineStr">
        <is>
          <t>CHOOSE(method, Kit/Panels/Factory/Community marginal totals from Unit Cost tab). THIS feeds COGS.</t>
        </is>
      </c>
      <c r="E18" s="9" t="inlineStr">
        <is>
          <t>MODELLED</t>
        </is>
      </c>
    </row>
    <row r="19">
      <c r="A19" s="6" t="inlineStr">
        <is>
          <t>Selected direct cost per bed (materials+conversion)</t>
        </is>
      </c>
      <c r="B19" s="12">
        <f>CHOOSE($B$7,'Unit Cost'!$E$25,'Unit Cost'!$E$26,'Unit Cost'!$E$27,'Unit Cost'!$E$28)</f>
        <v/>
      </c>
      <c r="C19" s="6" t="inlineStr">
        <is>
          <t>AUD/bed</t>
        </is>
      </c>
      <c r="D19" s="8" t="inlineStr">
        <is>
          <t>CHOOSE(method) on the direct-cost column (excludes long-haul freight).</t>
        </is>
      </c>
      <c r="E19" s="9" t="inlineStr">
        <is>
          <t>MODELLED</t>
        </is>
      </c>
    </row>
    <row r="20">
      <c r="A20" s="6" t="inlineStr">
        <is>
          <t>Gross margin per bed (price − marginal)</t>
        </is>
      </c>
      <c r="B20" s="12">
        <f>$B$13-$B$18</f>
        <v/>
      </c>
      <c r="C20" s="6" t="inlineStr">
        <is>
          <t>AUD/bed</t>
        </is>
      </c>
      <c r="D20" s="8" t="inlineStr">
        <is>
          <t>Price dial minus selected marginal cost.</t>
        </is>
      </c>
      <c r="E20" s="9" t="inlineStr">
        <is>
          <t>MODELLED</t>
        </is>
      </c>
    </row>
    <row r="21">
      <c r="A21" s="6" t="inlineStr">
        <is>
          <t>Gross margin %</t>
        </is>
      </c>
      <c r="B21" s="13">
        <f>($B$13-$B$18)/$B$13</f>
        <v/>
      </c>
      <c r="C21" s="6" t="inlineStr">
        <is>
          <t>%</t>
        </is>
      </c>
      <c r="D21" s="8" t="inlineStr">
        <is>
          <t>(price − marginal) / price.</t>
        </is>
      </c>
      <c r="E21" s="9" t="inlineStr">
        <is>
          <t>MODELLED</t>
        </is>
      </c>
    </row>
    <row r="22">
      <c r="A22" s="6" t="inlineStr">
        <is>
          <t>Annual fixed block</t>
        </is>
      </c>
      <c r="B22" s="14">
        <f>$B$23</f>
        <v/>
      </c>
      <c r="C22" s="6" t="inlineStr">
        <is>
          <t>AUD/yr</t>
        </is>
      </c>
      <c r="D22" s="8" t="inlineStr">
        <is>
          <t>Kirmos facility + founder production share + admin + field travel (from Wages &amp; People + Unit Cost).</t>
        </is>
      </c>
      <c r="E22" s="9" t="inlineStr">
        <is>
          <t>MODELLED</t>
        </is>
      </c>
    </row>
    <row r="23">
      <c r="A23" s="6" t="inlineStr">
        <is>
          <t>Annual fixed block (value)</t>
        </is>
      </c>
      <c r="B23" s="14">
        <f>'Wages &amp; People'!$B$8+'Unit Cost'!$B$56</f>
        <v/>
      </c>
      <c r="C23" s="6" t="inlineStr">
        <is>
          <t>AUD/yr</t>
        </is>
      </c>
      <c r="D23" s="8" t="inlineStr">
        <is>
          <t>Founder production cost ($560x30) + non-founder fixed block ($92,700 = Kirmos $27K + admin $14.7K + field $51K).</t>
        </is>
      </c>
      <c r="E23" s="9" t="inlineStr">
        <is>
          <t>MODELLED</t>
        </is>
      </c>
    </row>
    <row r="24">
      <c r="A24" s="6" t="inlineStr">
        <is>
          <t>Breakeven volume (beds/yr)</t>
        </is>
      </c>
      <c r="B24" s="14">
        <f>IF(($B$13-$B$18)&lt;=0,"n/a",ROUND($B$22/($B$13-$B$18),0))</f>
        <v/>
      </c>
      <c r="C24" s="6" t="inlineStr">
        <is>
          <t>beds/yr</t>
        </is>
      </c>
      <c r="D24" s="8" t="inlineStr">
        <is>
          <t>Annual fixed block / gross margin per bed. (Defy-kit path contribution is thin → very high breakeven.)</t>
        </is>
      </c>
      <c r="E24" s="9" t="inlineStr">
        <is>
          <t>MODELLED</t>
        </is>
      </c>
    </row>
    <row r="25">
      <c r="A25" s="6" t="inlineStr">
        <is>
          <t>Revenue at selected volume</t>
        </is>
      </c>
      <c r="B25" s="14">
        <f>$B$6*$B$13</f>
        <v/>
      </c>
      <c r="C25" s="6" t="inlineStr">
        <is>
          <t>AUD/yr</t>
        </is>
      </c>
      <c r="D25" s="8" t="inlineStr">
        <is>
          <t>Volume x price (forward, projected).</t>
        </is>
      </c>
      <c r="E25" s="9" t="inlineStr">
        <is>
          <t>MODELLED</t>
        </is>
      </c>
    </row>
    <row r="26">
      <c r="A26" s="6" t="inlineStr">
        <is>
          <t>COGS at selected volume</t>
        </is>
      </c>
      <c r="B26" s="14">
        <f>$B$6*$B$18</f>
        <v/>
      </c>
      <c r="C26" s="6" t="inlineStr">
        <is>
          <t>AUD/yr</t>
        </is>
      </c>
      <c r="D26" s="8" t="inlineStr">
        <is>
          <t>Volume x selected marginal cost.</t>
        </is>
      </c>
      <c r="E26" s="9" t="inlineStr">
        <is>
          <t>MODELLED</t>
        </is>
      </c>
    </row>
    <row r="27">
      <c r="A27" s="6" t="inlineStr">
        <is>
          <t>Operating surplus BEFORE founder time (annual fwd)</t>
        </is>
      </c>
      <c r="B27" s="14">
        <f>$B$6*($B$13-$B$18)-'Unit Cost'!$B$56-'Wages &amp; People'!$E$17</f>
        <v/>
      </c>
      <c r="C27" s="6" t="inlineStr">
        <is>
          <t>AUD/yr</t>
        </is>
      </c>
      <c r="D27" s="8" t="inlineStr">
        <is>
          <t>Gross profit − non-founder fixed block ($92,700) − future-hire wages (toggle-driven). Excludes ALL founder time.</t>
        </is>
      </c>
      <c r="E27" s="9" t="inlineStr">
        <is>
          <t>MODELLED</t>
        </is>
      </c>
    </row>
    <row r="28">
      <c r="A28" s="6" t="inlineStr">
        <is>
          <t>Operating surplus AFTER founder time (annual fwd)</t>
        </is>
      </c>
      <c r="B28" s="14">
        <f>$B$27-$B$9*$B$10</f>
        <v/>
      </c>
      <c r="C28" s="6" t="inlineStr">
        <is>
          <t>AUD/yr</t>
        </is>
      </c>
      <c r="D28" s="8" t="inlineStr">
        <is>
          <t>Surplus before founder time minus full founder cost ($560 x 150 = $84,000).</t>
        </is>
      </c>
      <c r="E28" s="9" t="inlineStr">
        <is>
          <t>MODELLED</t>
        </is>
      </c>
    </row>
    <row r="29">
      <c r="A29" s="6" t="inlineStr">
        <is>
          <t>Cash trough (36-mo, off opening-cash dial)</t>
        </is>
      </c>
      <c r="B29" s="14">
        <f>'Cashflow (36mo)'!$B$9</f>
        <v/>
      </c>
      <c r="C29" s="6" t="inlineStr">
        <is>
          <t>AUD</t>
        </is>
      </c>
      <c r="D29" s="8" t="inlineStr">
        <is>
          <t>Minimum cumulative cash across 36 months — recomputes live off the opening-cash dial.</t>
        </is>
      </c>
      <c r="E29" s="9" t="inlineStr">
        <is>
          <t>MODELLED</t>
        </is>
      </c>
    </row>
    <row r="30">
      <c r="A30" s="6" t="inlineStr">
        <is>
          <t>Runway at trough (months, modelled burn)</t>
        </is>
      </c>
      <c r="B30" s="15">
        <f>'Cashflow (36mo)'!$B$10</f>
        <v/>
      </c>
      <c r="C30" s="6" t="inlineStr">
        <is>
          <t>months</t>
        </is>
      </c>
      <c r="D30" s="8" t="inlineStr">
        <is>
          <t>Months of runway at the cash trough on the modelled monthly burn.</t>
        </is>
      </c>
      <c r="E30" s="9" t="inlineStr">
        <is>
          <t>MODELLED</t>
        </is>
      </c>
    </row>
    <row r="31"/>
    <row r="32">
      <c r="A32" s="2" t="inlineStr">
        <is>
          <t>VERIFIED ACTUALS (period, cash basis — not forward): Revenue received $649,710.79 · AR owed $82,500 (Rotary) · Goods cash out $309,126 · Operating surplus before founder time $340,585 · after period founder time ~$151,585. See P&amp;L tab. Forward outputs above are MODELLED off the dials.</t>
        </is>
      </c>
    </row>
    <row r="33"/>
    <row r="34">
      <c r="A34" s="2" t="inlineStr">
        <is>
          <t>ENTITY: A Curious Tractor Pty Ltd (ABN 36 697 347 676) t/a Goods on Country; DGR pathway via The Butterfly Movement Ltd. AP ≈ $0 owed; NO director loan. Revenue ~89% grant-funded (not trading profit). Capex treated in cash. Not audited — management workpaper.</t>
        </is>
      </c>
    </row>
  </sheetData>
  <mergeCells count="3">
    <mergeCell ref="A32:G32"/>
    <mergeCell ref="A2:G2"/>
    <mergeCell ref="A34:G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Unit Cost — BOM, 4 build methods, Idiot Index, Containerisation</t>
        </is>
      </c>
    </row>
    <row r="2">
      <c r="A2" s="2" t="inlineStr">
        <is>
          <t>Direct cost per bed by method. Control Panel method dial (B7) selects which marginal total (col F) feeds COGS via CHOOSE. All BOM rates VERIFIED from invoices (Defy INV-1602/1732, DNA Steel Notion BOM, Centre Canvas 3 invoices, Coastal Fasteners). 20kg HDPE/bed.</t>
        </is>
      </c>
    </row>
    <row r="4">
      <c r="A4" s="3" t="inlineStr">
        <is>
          <t>CANONICAL BOM  (Defy-kit path direct materials = $469.79/bed)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Component</t>
        </is>
      </c>
      <c r="B5" s="5" t="inlineStr">
        <is>
          <t>Qty</t>
        </is>
      </c>
      <c r="C5" s="5" t="inlineStr">
        <is>
          <t>Unit cost</t>
        </is>
      </c>
      <c r="D5" s="5" t="inlineStr">
        <is>
          <t>Line cost</t>
        </is>
      </c>
      <c r="E5" s="5" t="inlineStr">
        <is>
          <t>Supplier</t>
        </is>
      </c>
      <c r="F5" s="5" t="inlineStr">
        <is>
          <t>Source / confidence</t>
        </is>
      </c>
    </row>
    <row r="6">
      <c r="A6" s="6" t="inlineStr">
        <is>
          <t>HDPE plastic kit (legs, cut &amp; finished)</t>
        </is>
      </c>
      <c r="B6" s="16" t="n">
        <v>1</v>
      </c>
      <c r="C6" s="17" t="n">
        <v>344.05</v>
      </c>
      <c r="D6" s="17">
        <f>B6*C6</f>
        <v/>
      </c>
      <c r="E6" s="6" t="inlineStr">
        <is>
          <t>Defy Design</t>
        </is>
      </c>
      <c r="F6" s="6" t="inlineStr">
        <is>
          <t>Defy INV-1602 + INV-1732 — VERIFIED</t>
        </is>
      </c>
    </row>
    <row r="7">
      <c r="A7" s="6" t="inlineStr">
        <is>
          <t>Galvanised steel poles (gal pipe)</t>
        </is>
      </c>
      <c r="B7" s="16" t="n">
        <v>1</v>
      </c>
      <c r="C7" s="17" t="n">
        <v>27</v>
      </c>
      <c r="D7" s="17">
        <f>B7*C7</f>
        <v/>
      </c>
      <c r="E7" s="6" t="inlineStr">
        <is>
          <t>DNA Steel Direct</t>
        </is>
      </c>
      <c r="F7" s="6" t="inlineStr">
        <is>
          <t>Notion BOM StretchBed v2 — VERIFIED</t>
        </is>
      </c>
    </row>
    <row r="8">
      <c r="A8" s="6" t="inlineStr">
        <is>
          <t>Canvas sleeping surface</t>
        </is>
      </c>
      <c r="B8" s="16" t="n">
        <v>1</v>
      </c>
      <c r="C8" s="17" t="n">
        <v>93.5</v>
      </c>
      <c r="D8" s="17">
        <f>B8*C8</f>
        <v/>
      </c>
      <c r="E8" s="6" t="inlineStr">
        <is>
          <t>Centre Canvas</t>
        </is>
      </c>
      <c r="F8" s="6" t="inlineStr">
        <is>
          <t>3 invoices 2026, 270 covers — VERIFIED</t>
        </is>
      </c>
    </row>
    <row r="9">
      <c r="A9" s="6" t="inlineStr">
        <is>
          <t>Round ribbed end caps (27mm)</t>
        </is>
      </c>
      <c r="B9" s="16" t="n">
        <v>4</v>
      </c>
      <c r="C9" s="17" t="n">
        <v>0.8</v>
      </c>
      <c r="D9" s="17">
        <f>B9*C9</f>
        <v/>
      </c>
      <c r="E9" s="6" t="inlineStr">
        <is>
          <t>Hardware supplier</t>
        </is>
      </c>
      <c r="F9" s="6" t="inlineStr">
        <is>
          <t>4 x $0.80 — VERIFIED</t>
        </is>
      </c>
    </row>
    <row r="10">
      <c r="A10" s="6" t="inlineStr">
        <is>
          <t>Frame screws</t>
        </is>
      </c>
      <c r="B10" s="16" t="n">
        <v>16</v>
      </c>
      <c r="C10" s="17" t="n">
        <v>0.065</v>
      </c>
      <c r="D10" s="17">
        <f>B10*C10</f>
        <v/>
      </c>
      <c r="E10" s="6" t="inlineStr">
        <is>
          <t>Coastal Fasteners</t>
        </is>
      </c>
      <c r="F10" s="6" t="inlineStr">
        <is>
          <t>RB20247673190 — VERIFIED</t>
        </is>
      </c>
    </row>
    <row r="11">
      <c r="A11" s="6" t="inlineStr">
        <is>
          <t>Frame bolts</t>
        </is>
      </c>
      <c r="B11" s="16" t="n">
        <v>2</v>
      </c>
      <c r="C11" s="17" t="n">
        <v>0.5</v>
      </c>
      <c r="D11" s="17">
        <f>B11*C11</f>
        <v/>
      </c>
      <c r="E11" s="6" t="inlineStr">
        <is>
          <t>Coastal Fasteners</t>
        </is>
      </c>
      <c r="F11" s="6" t="inlineStr">
        <is>
          <t>2 x $0.50 est — INFERRED</t>
        </is>
      </c>
    </row>
    <row r="12">
      <c r="A12" s="18" t="inlineStr">
        <is>
          <t>Defy-kit direct materials total</t>
        </is>
      </c>
      <c r="D12" s="12">
        <f>SUM(D6:D11)</f>
        <v/>
      </c>
    </row>
    <row r="14">
      <c r="A14" s="3" t="inlineStr">
        <is>
          <t>FOUR BUILD METHODS — direct $/bed + marginal (incl. long-haul freight from Control Panel)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Method</t>
        </is>
      </c>
      <c r="B15" s="5" t="inlineStr">
        <is>
          <t>Plastic legs/bed</t>
        </is>
      </c>
      <c r="C15" s="5" t="inlineStr">
        <is>
          <t>Other materials</t>
        </is>
      </c>
      <c r="D15" s="5" t="inlineStr">
        <is>
          <t>Conversion (diesel+labour+assembly+local freight)</t>
        </is>
      </c>
      <c r="E15" s="5" t="inlineStr">
        <is>
          <t>Direct total</t>
        </is>
      </c>
      <c r="F15" s="5" t="inlineStr">
        <is>
          <t>Marginal total (+ long-haul)</t>
        </is>
      </c>
      <c r="G15" s="5" t="inlineStr">
        <is>
          <t>Status / verdict</t>
        </is>
      </c>
    </row>
    <row r="25">
      <c r="A25" s="6" t="inlineStr">
        <is>
          <t>1 · Buy-Kit (today, no capex)</t>
        </is>
      </c>
      <c r="B25" s="17">
        <f>C6</f>
        <v/>
      </c>
      <c r="C25" s="17">
        <f>(D7+D8+D9+D10+D11)</f>
        <v/>
      </c>
      <c r="D25" s="17">
        <f>40+25</f>
        <v/>
      </c>
      <c r="E25" s="19">
        <f>B25+C25+D25</f>
        <v/>
      </c>
      <c r="F25" s="19">
        <f>E25+'Control Panel'!$B$14</f>
        <v/>
      </c>
      <c r="G25" s="8" t="inlineStr">
        <is>
          <t>Best bought-in path today. MODELLED (verified inputs)</t>
        </is>
      </c>
    </row>
    <row r="26">
      <c r="A26" s="6" t="inlineStr">
        <is>
          <t>2 · Buy-Panels (avoid)</t>
        </is>
      </c>
      <c r="B26" s="17" t="n">
        <v>400</v>
      </c>
      <c r="C26" s="17">
        <f>(D7+D8+D9+D10+D11)</f>
        <v/>
      </c>
      <c r="D26" s="17">
        <f>5+53.33</f>
        <v/>
      </c>
      <c r="E26" s="19">
        <f>B26+C26+D26</f>
        <v/>
      </c>
      <c r="F26" s="19">
        <f>E26+'Control Panel'!$B$14</f>
        <v/>
      </c>
      <c r="G26" s="8" t="inlineStr">
        <is>
          <t>Worst value — paying press margin. VERIFIED inputs</t>
        </is>
      </c>
    </row>
    <row r="27">
      <c r="A27" s="6" t="inlineStr">
        <is>
          <t>3 · Factory in-house</t>
        </is>
      </c>
      <c r="B27" s="17">
        <f>55+15+80</f>
        <v/>
      </c>
      <c r="C27" s="17">
        <f>(D7+D8+D9+D10+D11)</f>
        <v/>
      </c>
      <c r="D27" s="17" t="n">
        <v>0</v>
      </c>
      <c r="E27" s="19">
        <f>B27+C27+D27</f>
        <v/>
      </c>
      <c r="F27" s="19">
        <f>E27+'Control Panel'!$B$14</f>
        <v/>
      </c>
      <c r="G27" s="8" t="inlineStr">
        <is>
          <t>TARGET. Needs press+CNC capex. MODELLED</t>
        </is>
      </c>
    </row>
    <row r="28">
      <c r="A28" s="6" t="inlineStr">
        <is>
          <t>4 · Community (free feedstock + volunteer)</t>
        </is>
      </c>
      <c r="B28" s="17" t="n">
        <v>15</v>
      </c>
      <c r="C28" s="17">
        <f>(D7+D8+D9+D10+D11)</f>
        <v/>
      </c>
      <c r="D28" s="17" t="n">
        <v>0</v>
      </c>
      <c r="E28" s="19">
        <f>B28+C28+D28</f>
        <v/>
      </c>
      <c r="F28" s="19">
        <f>E28+'Control Panel'!$B$14</f>
        <v/>
      </c>
      <c r="G28" s="8" t="inlineStr">
        <is>
          <t>Vision. Council feedstock + CDP labour (future). FUTURE</t>
        </is>
      </c>
    </row>
    <row r="30">
      <c r="A30" s="18" t="inlineStr">
        <is>
          <t>SELECTED method (from Control Panel dial)</t>
        </is>
      </c>
      <c r="B30" s="18">
        <f>'Control Panel'!$B$7</f>
        <v/>
      </c>
      <c r="D30" s="18" t="inlineStr">
        <is>
          <t>Selected marginal $/bed →</t>
        </is>
      </c>
      <c r="E30" s="20">
        <f>CHOOSE('Control Panel'!$B$7,F25,F26,F27,F28)</f>
        <v/>
      </c>
    </row>
    <row r="32">
      <c r="A32" s="3" t="inlineStr">
        <is>
          <t>IDIOT INDEX  (current paid ÷ raw-material floor)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Element</t>
        </is>
      </c>
      <c r="B33" s="5" t="inlineStr">
        <is>
          <t>Raw floor</t>
        </is>
      </c>
      <c r="C33" s="5" t="inlineStr">
        <is>
          <t>Current paid</t>
        </is>
      </c>
      <c r="D33" s="5" t="inlineStr">
        <is>
          <t>Idiot index</t>
        </is>
      </c>
      <c r="E33" s="5" t="inlineStr">
        <is>
          <t>Biggest lever?</t>
        </is>
      </c>
      <c r="F33" s="5" t="inlineStr">
        <is>
          <t>Note</t>
        </is>
      </c>
    </row>
    <row r="34">
      <c r="A34" s="6" t="inlineStr">
        <is>
          <t>HDPE kit (Defy cut+finished)</t>
        </is>
      </c>
      <c r="B34" s="17" t="n">
        <v>40</v>
      </c>
      <c r="C34" s="17" t="n">
        <v>344.05</v>
      </c>
      <c r="D34" s="21">
        <f>ROUND(C34/B34,1)</f>
        <v/>
      </c>
      <c r="E34" s="6" t="inlineStr">
        <is>
          <t>YES — headline</t>
        </is>
      </c>
      <c r="F34" s="8" t="inlineStr">
        <is>
          <t>In-source shred+press+CNC → ~$150/bed; moves ~$194/bed + captures ~$289 Defy margin</t>
        </is>
      </c>
    </row>
    <row r="35">
      <c r="A35" s="6" t="inlineStr">
        <is>
          <t>HDPE pre-pressed panel (alt)</t>
        </is>
      </c>
      <c r="B35" s="17" t="n">
        <v>40</v>
      </c>
      <c r="C35" s="17" t="n">
        <v>400</v>
      </c>
      <c r="D35" s="21">
        <f>ROUND(C35/B35,1)</f>
        <v/>
      </c>
      <c r="E35" s="6" t="inlineStr">
        <is>
          <t>avoid</t>
        </is>
      </c>
      <c r="F35" s="8" t="inlineStr">
        <is>
          <t>Pay press margin but still CNC+assemble — worst value</t>
        </is>
      </c>
    </row>
    <row r="36">
      <c r="A36" s="6" t="inlineStr">
        <is>
          <t>Canvas (Centre Canvas)</t>
        </is>
      </c>
      <c r="B36" s="17" t="n">
        <v>38.5</v>
      </c>
      <c r="C36" s="17" t="n">
        <v>93.5</v>
      </c>
      <c r="D36" s="21">
        <f>ROUND(C36/B36,1)</f>
        <v/>
      </c>
      <c r="E36" s="6" t="inlineStr">
        <is>
          <t>no</t>
        </is>
      </c>
      <c r="F36" s="8" t="inlineStr">
        <is>
          <t>In-house sewing only at volume</t>
        </is>
      </c>
    </row>
    <row r="37">
      <c r="A37" s="6" t="inlineStr">
        <is>
          <t>Steel poles (DNA Steel)</t>
        </is>
      </c>
      <c r="B37" s="17" t="n">
        <v>12.67</v>
      </c>
      <c r="C37" s="17" t="n">
        <v>27</v>
      </c>
      <c r="D37" s="21">
        <f>ROUND(C37/B37,1)</f>
        <v/>
      </c>
      <c r="E37" s="6" t="inlineStr">
        <is>
          <t>no</t>
        </is>
      </c>
      <c r="F37" s="8" t="inlineStr">
        <is>
          <t>Reasonable; NT-procurement premium worth keeping</t>
        </is>
      </c>
    </row>
    <row r="38">
      <c r="A38" s="6" t="inlineStr">
        <is>
          <t>End caps</t>
        </is>
      </c>
      <c r="B38" s="17" t="n">
        <v>2.6</v>
      </c>
      <c r="C38" s="17" t="n">
        <v>3.2</v>
      </c>
      <c r="D38" s="21">
        <f>ROUND(C38/B38,1)</f>
        <v/>
      </c>
      <c r="E38" s="6" t="inlineStr">
        <is>
          <t>no</t>
        </is>
      </c>
      <c r="F38" s="8" t="inlineStr">
        <is>
          <t>Near cost</t>
        </is>
      </c>
    </row>
    <row r="39">
      <c r="A39" s="6" t="inlineStr">
        <is>
          <t>Screws</t>
        </is>
      </c>
      <c r="B39" s="17" t="n">
        <v>1.04</v>
      </c>
      <c r="C39" s="17" t="n">
        <v>1.04</v>
      </c>
      <c r="D39" s="21">
        <f>ROUND(C39/B39,1)</f>
        <v/>
      </c>
      <c r="E39" s="6" t="inlineStr">
        <is>
          <t>no</t>
        </is>
      </c>
      <c r="F39" s="8" t="inlineStr">
        <is>
          <t>Already raw rate</t>
        </is>
      </c>
    </row>
    <row r="40">
      <c r="A40" s="6" t="inlineStr">
        <is>
          <t>Bolts</t>
        </is>
      </c>
      <c r="B40" s="17" t="n">
        <v>0.6</v>
      </c>
      <c r="C40" s="17" t="n">
        <v>1</v>
      </c>
      <c r="D40" s="21">
        <f>ROUND(C40/B40,1)</f>
        <v/>
      </c>
      <c r="E40" s="6" t="inlineStr">
        <is>
          <t>no</t>
        </is>
      </c>
      <c r="F40" s="8" t="inlineStr">
        <is>
          <t>Trivial $ impact</t>
        </is>
      </c>
    </row>
    <row r="41">
      <c r="A41" s="6" t="inlineStr">
        <is>
          <t>Defy assembly labour</t>
        </is>
      </c>
      <c r="B41" s="17" t="n">
        <v>60</v>
      </c>
      <c r="C41" s="17" t="n">
        <v>55.95</v>
      </c>
      <c r="D41" s="21">
        <f>ROUND(C41/B41,1)</f>
        <v/>
      </c>
      <c r="E41" s="6" t="inlineStr">
        <is>
          <t>no</t>
        </is>
      </c>
      <c r="F41" s="8" t="inlineStr">
        <is>
          <t>Competitive; in-sourcing is a jobs/mission move</t>
        </is>
      </c>
    </row>
    <row r="43">
      <c r="A43" s="3" t="inlineStr">
        <is>
          <t>CONTAINERISATION  (per containerised factory)</t>
        </is>
      </c>
      <c r="B43" s="4" t="n"/>
      <c r="C43" s="4" t="n"/>
      <c r="D43" s="4" t="n"/>
      <c r="E43" s="4" t="n"/>
      <c r="F43" s="4" t="n"/>
      <c r="G43" s="4" t="n"/>
    </row>
    <row r="44">
      <c r="A44" s="5" t="inlineStr">
        <is>
          <t>Item</t>
        </is>
      </c>
      <c r="B44" s="5" t="inlineStr">
        <is>
          <t>Value</t>
        </is>
      </c>
      <c r="C44" s="5" t="inlineStr">
        <is>
          <t>Unit</t>
        </is>
      </c>
      <c r="D44" s="5" t="inlineStr">
        <is>
          <t>Source / note</t>
        </is>
      </c>
      <c r="E44" s="5" t="inlineStr"/>
      <c r="F44" s="5" t="inlineStr"/>
    </row>
    <row r="45">
      <c r="A45" s="6" t="inlineStr">
        <is>
          <t>Capex per factory — low</t>
        </is>
      </c>
      <c r="B45" s="14" t="n">
        <v>112000</v>
      </c>
      <c r="C45" s="6" t="inlineStr">
        <is>
          <t>AUD</t>
        </is>
      </c>
      <c r="D45" s="8" t="inlineStr">
        <is>
          <t>shredder $15-30K + press $80-150K + CNC $15-40K + tools $2K (v6)</t>
        </is>
      </c>
    </row>
    <row r="46">
      <c r="A46" s="6" t="inlineStr">
        <is>
          <t>Capex per factory — high</t>
        </is>
      </c>
      <c r="B46" s="14" t="n">
        <v>222000</v>
      </c>
      <c r="C46" s="6" t="inlineStr">
        <is>
          <t>AUD</t>
        </is>
      </c>
      <c r="D46" s="8" t="inlineStr">
        <is>
          <t>high end of equipment band (firm quotes pending)</t>
        </is>
      </c>
    </row>
    <row r="47">
      <c r="A47" s="6" t="inlineStr">
        <is>
          <t>Already invested (facility + Carbatec tooling)</t>
        </is>
      </c>
      <c r="B47" s="14" t="n">
        <v>110046</v>
      </c>
      <c r="C47" s="6" t="inlineStr">
        <is>
          <t>AUD</t>
        </is>
      </c>
      <c r="D47" s="8" t="inlineStr">
        <is>
          <t>sits inside the $323,106 cash spend — VERIFIED</t>
        </is>
      </c>
    </row>
    <row r="48">
      <c r="A48" s="6" t="inlineStr">
        <is>
          <t>Net capital ask — low</t>
        </is>
      </c>
      <c r="B48" s="14">
        <f>B45-B47</f>
        <v/>
      </c>
      <c r="C48" s="6" t="inlineStr">
        <is>
          <t>AUD</t>
        </is>
      </c>
      <c r="D48" s="8" t="inlineStr">
        <is>
          <t>capex low − already invested</t>
        </is>
      </c>
    </row>
    <row r="49">
      <c r="A49" s="6" t="inlineStr">
        <is>
          <t>Net capital ask — high</t>
        </is>
      </c>
      <c r="B49" s="14">
        <f>B46-B47</f>
        <v/>
      </c>
      <c r="C49" s="6" t="inlineStr">
        <is>
          <t>AUD</t>
        </is>
      </c>
      <c r="D49" s="8" t="inlineStr">
        <is>
          <t>capex high − already invested</t>
        </is>
      </c>
    </row>
    <row r="50">
      <c r="A50" s="6" t="inlineStr">
        <is>
          <t>Per-bed saving buy-kit → in-house legs</t>
        </is>
      </c>
      <c r="B50" s="12">
        <f>B25-B27</f>
        <v/>
      </c>
      <c r="C50" s="6" t="inlineStr">
        <is>
          <t>AUD/bed</t>
        </is>
      </c>
      <c r="D50" s="8" t="inlineStr">
        <is>
          <t>Buy-kit legs $344.05 − factory legs $150 = ~$194; up to $259 vs full kit path</t>
        </is>
      </c>
    </row>
    <row r="51">
      <c r="A51" s="6" t="inlineStr">
        <is>
          <t>Annual saving at selected volume</t>
        </is>
      </c>
      <c r="B51" s="14">
        <f>'Control Panel'!$B$6*B50</f>
        <v/>
      </c>
      <c r="C51" s="6" t="inlineStr">
        <is>
          <t>AUD/yr</t>
        </is>
      </c>
      <c r="D51" s="8" t="inlineStr">
        <is>
          <t>volume x per-bed leg saving</t>
        </is>
      </c>
    </row>
    <row r="52">
      <c r="A52" s="6" t="inlineStr">
        <is>
          <t>Payback (years) on net-low capex at selected volume</t>
        </is>
      </c>
      <c r="B52" s="15">
        <f>IF(B51=0,"n/a",ROUND(B48/B51,1))</f>
        <v/>
      </c>
      <c r="C52" s="6" t="inlineStr">
        <is>
          <t>years</t>
        </is>
      </c>
      <c r="D52" s="8" t="inlineStr">
        <is>
          <t>net-low capex / annual saving</t>
        </is>
      </c>
    </row>
    <row r="55">
      <c r="A55" s="18" t="inlineStr">
        <is>
          <t>NON-FOUNDER ANNUAL FIXED BLOCK (Kirmos + admin + field travel)</t>
        </is>
      </c>
    </row>
    <row r="56">
      <c r="A56" t="inlineStr">
        <is>
          <t>Non-founder fixed block ($27,000 + $14,700 + $51,000)</t>
        </is>
      </c>
      <c r="B56" s="14">
        <f>27000+14700+51000</f>
        <v/>
      </c>
      <c r="C56" s="6" t="inlineStr">
        <is>
          <t>AUD/yr</t>
        </is>
      </c>
      <c r="D56" s="22" t="inlineStr">
        <is>
          <t>Kirmos facility 50% of $4,500/mo + admin + lumpy field travel. Founder production share added separately (Wages tab).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</cols>
  <sheetData>
    <row r="1">
      <c r="A1" s="1" t="inlineStr">
        <is>
          <t>Wages &amp; People — founder time, FTE sensitivity, future hires</t>
        </is>
      </c>
    </row>
    <row r="2">
      <c r="A2" s="2" t="inlineStr">
        <is>
          <t>Founder cost driven by Control Panel dials (day-rate $560 x days). Production share goes to the bed fixed block; the rest is cost-of-capital + customer-acquisition (NOT unit cost). FTE sensitivity per the advisor's $140,000/yr fair-market ask. Future hires are toggle-driven.</t>
        </is>
      </c>
    </row>
    <row r="4">
      <c r="A4" s="3" t="inlineStr">
        <is>
          <t>FOUNDER COST (LOCKED 2026-05-29)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Line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Source / treatment</t>
        </is>
      </c>
      <c r="E5" s="5" t="inlineStr"/>
    </row>
    <row r="6">
      <c r="A6" s="6" t="inlineStr">
        <is>
          <t>Founder cost per year (day-rate x total days)</t>
        </is>
      </c>
      <c r="B6" s="23">
        <f>'Control Panel'!$B$9*'Control Panel'!$B$10</f>
        <v/>
      </c>
      <c r="C6" s="6" t="n"/>
      <c r="D6" s="8" t="inlineStr">
        <is>
          <t>$560 x 150 = $84,000/yr. LOCKED.</t>
        </is>
      </c>
    </row>
    <row r="7">
      <c r="A7" s="6" t="inlineStr">
        <is>
          <t xml:space="preserve">  of which production share (30 days) — in bed fixed block</t>
        </is>
      </c>
      <c r="B7" s="23">
        <f>'Control Panel'!$B$9*'Control Panel'!$B$11</f>
        <v/>
      </c>
      <c r="C7" s="6" t="n"/>
      <c r="D7" s="8" t="inlineStr">
        <is>
          <t>$560 x 30 = $16,800/yr. ONLY part touching unit cost.</t>
        </is>
      </c>
    </row>
    <row r="8">
      <c r="A8" s="24" t="inlineStr">
        <is>
          <t>Founder production cost (fixed-block input)</t>
        </is>
      </c>
      <c r="B8" s="14">
        <f>'Control Panel'!$B$9*'Control Panel'!$B$11</f>
        <v/>
      </c>
      <c r="C8" s="6" t="n"/>
      <c r="D8" s="8" t="inlineStr">
        <is>
          <t>Referenced by Control Panel + Unit Cost fixed block.</t>
        </is>
      </c>
    </row>
    <row r="9">
      <c r="A9" s="6" t="inlineStr">
        <is>
          <t xml:space="preserve">  fundraising/commercialisation/governance (120 days) — NOT unit cost</t>
        </is>
      </c>
      <c r="B9" s="23">
        <f>'Control Panel'!$B$9*('Control Panel'!$B$10-'Control Panel'!$B$11)</f>
        <v/>
      </c>
      <c r="C9" s="6" t="n"/>
      <c r="D9" s="8" t="inlineStr">
        <is>
          <t>$560 x 120 = $67,200/yr. Cost-of-capital + customer-acq + ACT-wide.</t>
        </is>
      </c>
    </row>
    <row r="11">
      <c r="A11" s="3" t="inlineStr">
        <is>
          <t>FUTURE HIRES (toggle 1=on / 0=off in col B; cost flows to P&amp;L opex)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Role</t>
        </is>
      </c>
      <c r="B12" s="5" t="inlineStr">
        <is>
          <t>On (1/0)</t>
        </is>
      </c>
      <c r="C12" s="5" t="inlineStr">
        <is>
          <t>Annual cost</t>
        </is>
      </c>
      <c r="D12" s="5" t="inlineStr">
        <is>
          <t>Start month</t>
        </is>
      </c>
      <c r="E12" s="5" t="inlineStr">
        <is>
          <t>Effective annual cost (on x cost)</t>
        </is>
      </c>
    </row>
    <row r="13">
      <c r="A13" s="6" t="inlineStr">
        <is>
          <t>General Manager / Head of Manufacturing</t>
        </is>
      </c>
      <c r="B13" s="25" t="n">
        <v>0</v>
      </c>
      <c r="C13" s="23" t="n">
        <v>120000</v>
      </c>
      <c r="D13" s="26" t="inlineStr">
        <is>
          <t>Mth 7</t>
        </is>
      </c>
      <c r="E13" s="23">
        <f>B13*C13</f>
        <v/>
      </c>
    </row>
    <row r="14">
      <c r="A14" s="6" t="inlineStr">
        <is>
          <t>Sales / BD #1</t>
        </is>
      </c>
      <c r="B14" s="25" t="n">
        <v>0</v>
      </c>
      <c r="C14" s="23" t="n">
        <v>90000</v>
      </c>
      <c r="D14" s="26" t="inlineStr">
        <is>
          <t>Mth 7</t>
        </is>
      </c>
      <c r="E14" s="23">
        <f>B14*C14</f>
        <v/>
      </c>
    </row>
    <row r="15">
      <c r="A15" s="6" t="inlineStr">
        <is>
          <t>Sales / BD #2</t>
        </is>
      </c>
      <c r="B15" s="25" t="n">
        <v>0</v>
      </c>
      <c r="C15" s="23" t="n">
        <v>90000</v>
      </c>
      <c r="D15" s="26" t="inlineStr">
        <is>
          <t>Mth 13</t>
        </is>
      </c>
      <c r="E15" s="23">
        <f>B15*C15</f>
        <v/>
      </c>
    </row>
    <row r="16">
      <c r="A16" s="6" t="inlineStr">
        <is>
          <t>Sales / BD #3</t>
        </is>
      </c>
      <c r="B16" s="25" t="n">
        <v>0</v>
      </c>
      <c r="C16" s="23" t="n">
        <v>90000</v>
      </c>
      <c r="D16" s="26" t="inlineStr">
        <is>
          <t>Mth 19</t>
        </is>
      </c>
      <c r="E16" s="23">
        <f>B16*C16</f>
        <v/>
      </c>
    </row>
    <row r="17">
      <c r="A17" s="18" t="inlineStr">
        <is>
          <t>TOTAL future-hire annual cost (toggled-on)</t>
        </is>
      </c>
      <c r="E17" s="14">
        <f>SUM(E13:E16)</f>
        <v/>
      </c>
    </row>
    <row r="19">
      <c r="A19" s="3" t="inlineStr">
        <is>
          <t>FTE SENSITIVITY — combined founder FTE on $140,000/yr fair-market basis (advisor ask)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>Scenario</t>
        </is>
      </c>
      <c r="B20" s="5" t="inlineStr">
        <is>
          <t>Ben FTE</t>
        </is>
      </c>
      <c r="C20" s="5" t="inlineStr">
        <is>
          <t>Nic FTE</t>
        </is>
      </c>
      <c r="D20" s="5" t="inlineStr">
        <is>
          <t>Combined FTE</t>
        </is>
      </c>
      <c r="E20" s="5" t="inlineStr">
        <is>
          <t>Annual founder cost</t>
        </is>
      </c>
    </row>
    <row r="21">
      <c r="A21" s="6" t="inlineStr">
        <is>
          <t>Conservative</t>
        </is>
      </c>
      <c r="B21" s="6" t="n">
        <v>0.25</v>
      </c>
      <c r="C21" s="6" t="n">
        <v>0.25</v>
      </c>
      <c r="D21" s="6" t="n">
        <v>0.5</v>
      </c>
      <c r="E21" s="23">
        <f>140000*D21</f>
        <v/>
      </c>
    </row>
    <row r="22">
      <c r="A22" s="6" t="inlineStr">
        <is>
          <t>Mid</t>
        </is>
      </c>
      <c r="B22" s="6" t="n">
        <v>0.5</v>
      </c>
      <c r="C22" s="6" t="n">
        <v>0.5</v>
      </c>
      <c r="D22" s="6" t="n">
        <v>1</v>
      </c>
      <c r="E22" s="23">
        <f>140000*D22</f>
        <v/>
      </c>
    </row>
    <row r="23">
      <c r="A23" s="6" t="inlineStr">
        <is>
          <t>High</t>
        </is>
      </c>
      <c r="B23" s="6" t="n">
        <v>0.75</v>
      </c>
      <c r="C23" s="6" t="n">
        <v>0.5</v>
      </c>
      <c r="D23" s="6" t="n">
        <v>1.25</v>
      </c>
      <c r="E23" s="23">
        <f>140000*D23</f>
        <v/>
      </c>
    </row>
    <row r="24">
      <c r="A24" s="6" t="inlineStr">
        <is>
          <t>All-in</t>
        </is>
      </c>
      <c r="B24" s="6" t="n">
        <v>0.8</v>
      </c>
      <c r="C24" s="6" t="n">
        <v>0.7</v>
      </c>
      <c r="D24" s="6" t="n">
        <v>1.5</v>
      </c>
      <c r="E24" s="23">
        <f>140000*D24</f>
        <v/>
      </c>
    </row>
    <row r="26">
      <c r="A26" s="2" t="inlineStr">
        <is>
          <t>FTE sensitivity uses the $140,000/yr fair-market basis (= $560/day x 250 days). The LOCKED headline uses 150 days x $560 = $84,000/yr. Both reconcile at the $560/day rate. This table is the advisor's combined-FTE view; the locked figure is the working basis.</t>
        </is>
      </c>
    </row>
  </sheetData>
  <mergeCells count="2">
    <mergeCell ref="A26:G26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Revenue — verified actuals base + forward projection</t>
        </is>
      </c>
    </row>
    <row r="2">
      <c r="A2" s="2" t="inlineStr">
        <is>
          <t>ACTUALS VERIFIED off the live Xero mirror 2026-05-29. FORWARD = Control Panel Volume x Price, split by segment. Revenue to date is ~89% donor-funded institutional — this is NOT trading profit.</t>
        </is>
      </c>
    </row>
    <row r="4">
      <c r="A4" s="3" t="inlineStr">
        <is>
          <t>VERIFIED ACTUALS (period, cash basis)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Status</t>
        </is>
      </c>
      <c r="D5" s="5" t="inlineStr">
        <is>
          <t>Source</t>
        </is>
      </c>
      <c r="E5" s="5" t="inlineStr"/>
    </row>
    <row r="6">
      <c r="A6" s="6" t="inlineStr">
        <is>
          <t>Revenue billed (ACCREC)</t>
        </is>
      </c>
      <c r="B6" s="17" t="n">
        <v>732210.79</v>
      </c>
      <c r="C6" s="6" t="inlineStr">
        <is>
          <t>VERIFIED</t>
        </is>
      </c>
      <c r="D6" s="6" t="inlineStr">
        <is>
          <t>Live Xero mirror; project_code=ACT-GD</t>
        </is>
      </c>
      <c r="E6" s="6" t="inlineStr"/>
    </row>
    <row r="7">
      <c r="A7" s="6" t="inlineStr">
        <is>
          <t>Revenue received (16 PAID invoices)</t>
        </is>
      </c>
      <c r="B7" s="17" t="n">
        <v>649710.79</v>
      </c>
      <c r="C7" s="6" t="inlineStr">
        <is>
          <t>VERIFIED</t>
        </is>
      </c>
      <c r="D7" s="6" t="inlineStr">
        <is>
          <t>matched RECEIVE txns</t>
        </is>
      </c>
      <c r="E7" s="6" t="inlineStr"/>
    </row>
    <row r="8">
      <c r="A8" s="6" t="inlineStr">
        <is>
          <t>Accounts receivable owed (Rotary INV-0222)</t>
        </is>
      </c>
      <c r="B8" s="17" t="n">
        <v>82500</v>
      </c>
      <c r="C8" s="6" t="inlineStr">
        <is>
          <t>VERIFIED</t>
        </is>
      </c>
      <c r="D8" s="6" t="inlineStr">
        <is>
          <t>no matching RECEIVE txn — genuinely owed</t>
        </is>
      </c>
      <c r="E8" s="6" t="inlineStr"/>
    </row>
    <row r="9">
      <c r="A9" s="6" t="inlineStr">
        <is>
          <t>Grant revenue (cumulative)</t>
        </is>
      </c>
      <c r="B9" s="17" t="n">
        <v>611462</v>
      </c>
      <c r="C9" s="6" t="inlineStr">
        <is>
          <t>VERIFIED</t>
        </is>
      </c>
      <c r="D9" s="6" t="inlineStr">
        <is>
          <t>income_type=grant</t>
        </is>
      </c>
      <c r="E9" s="6" t="inlineStr"/>
    </row>
    <row r="10">
      <c r="A10" s="6" t="inlineStr">
        <is>
          <t>Commercial revenue (cumulative)</t>
        </is>
      </c>
      <c r="B10" s="17" t="n">
        <v>73449</v>
      </c>
      <c r="C10" s="6" t="inlineStr">
        <is>
          <t>VERIFIED</t>
        </is>
      </c>
      <c r="D10" s="6" t="inlineStr">
        <is>
          <t>income_type=commercial</t>
        </is>
      </c>
      <c r="E10" s="6" t="inlineStr"/>
    </row>
    <row r="12">
      <c r="A12" s="3" t="inlineStr">
        <is>
          <t>REVENUE MIX BY SEGMENT (to date — Day 5 basis on $684,911)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Segment</t>
        </is>
      </c>
      <c r="B13" s="5" t="inlineStr">
        <is>
          <t>To date</t>
        </is>
      </c>
      <c r="C13" s="5" t="inlineStr">
        <is>
          <t>% of total</t>
        </is>
      </c>
      <c r="D13" s="5" t="inlineStr">
        <is>
          <t>Status</t>
        </is>
      </c>
      <c r="E13" s="5" t="inlineStr">
        <is>
          <t>Forward note</t>
        </is>
      </c>
    </row>
    <row r="14">
      <c r="A14" s="6" t="inlineStr">
        <is>
          <t>Donor-funded institutional distribution</t>
        </is>
      </c>
      <c r="B14" s="23" t="n">
        <v>611461</v>
      </c>
      <c r="C14" s="27" t="n">
        <v>0.893</v>
      </c>
      <c r="D14" s="6" t="inlineStr">
        <is>
          <t>VERIFIED</t>
        </is>
      </c>
      <c r="E14" s="8" t="inlineStr">
        <is>
          <t>Centrecorp/Snow-type grant-funded placements</t>
        </is>
      </c>
    </row>
    <row r="15">
      <c r="A15" s="6" t="inlineStr">
        <is>
          <t>Direct institutional commercial</t>
        </is>
      </c>
      <c r="B15" s="23" t="n">
        <v>45499</v>
      </c>
      <c r="C15" s="27" t="n">
        <v>0.066</v>
      </c>
      <c r="D15" s="6" t="inlineStr">
        <is>
          <t>VERIFIED</t>
        </is>
      </c>
      <c r="E15" s="8" t="inlineStr">
        <is>
          <t>Bulk B2B sale at $750</t>
        </is>
      </c>
    </row>
    <row r="16">
      <c r="A16" s="6" t="inlineStr">
        <is>
          <t>Corporate sponsorship / RAP</t>
        </is>
      </c>
      <c r="B16" s="23" t="n">
        <v>12000</v>
      </c>
      <c r="C16" s="27" t="n">
        <v>0.018</v>
      </c>
      <c r="D16" s="6" t="inlineStr">
        <is>
          <t>VERIFIED</t>
        </is>
      </c>
      <c r="E16" s="8" t="inlineStr">
        <is>
          <t>RAP-funded bed sponsorship</t>
        </is>
      </c>
    </row>
    <row r="17">
      <c r="A17" s="6" t="inlineStr">
        <is>
          <t>Community / maker partners</t>
        </is>
      </c>
      <c r="B17" s="23" t="n">
        <v>15950</v>
      </c>
      <c r="C17" s="27" t="n">
        <v>0.023</v>
      </c>
      <c r="D17" s="6" t="inlineStr">
        <is>
          <t>VERIFIED</t>
        </is>
      </c>
      <c r="E17" s="8" t="inlineStr">
        <is>
          <t>Community-led orders</t>
        </is>
      </c>
    </row>
    <row r="18">
      <c r="A18" s="6" t="inlineStr">
        <is>
          <t>Government procurement</t>
        </is>
      </c>
      <c r="B18" s="23" t="n">
        <v>0</v>
      </c>
      <c r="C18" s="27" t="n">
        <v>0</v>
      </c>
      <c r="D18" s="6" t="inlineStr">
        <is>
          <t>TO CONFIRM</t>
        </is>
      </c>
      <c r="E18" s="8" t="inlineStr">
        <is>
          <t>Needs Supply Nation cert</t>
        </is>
      </c>
    </row>
    <row r="19">
      <c r="A19" s="6" t="inlineStr">
        <is>
          <t>Direct retail / B2C</t>
        </is>
      </c>
      <c r="B19" s="23" t="n">
        <v>0</v>
      </c>
      <c r="C19" s="27" t="n">
        <v>0</v>
      </c>
      <c r="D19" s="6" t="inlineStr">
        <is>
          <t>TO CONFIRM</t>
        </is>
      </c>
      <c r="E19" s="8" t="inlineStr">
        <is>
          <t>Needs standing inventory</t>
        </is>
      </c>
    </row>
    <row r="20">
      <c r="A20" s="6" t="inlineStr">
        <is>
          <t>Adjacent markets</t>
        </is>
      </c>
      <c r="B20" s="23" t="n">
        <v>0</v>
      </c>
      <c r="C20" s="27" t="n">
        <v>0</v>
      </c>
      <c r="D20" s="6" t="inlineStr">
        <is>
          <t>TO CONFIRM</t>
        </is>
      </c>
      <c r="E20" s="8" t="inlineStr">
        <is>
          <t>Future product lines</t>
        </is>
      </c>
    </row>
    <row r="21">
      <c r="A21" s="18" t="inlineStr">
        <is>
          <t>Total revenue to date</t>
        </is>
      </c>
      <c r="B21" s="14">
        <f>SUM(B14:B20)</f>
        <v/>
      </c>
    </row>
    <row r="22">
      <c r="A22" s="2" t="inlineStr">
        <is>
          <t>FLAG: $94,500 of ACT-GD revenue is currently UNTAGGED grant-vs-commercial — segment split provisional until tagged (accountant item).</t>
        </is>
      </c>
    </row>
    <row r="24">
      <c r="A24" s="3" t="inlineStr">
        <is>
          <t>FORWARD PROJECTION (Volume x Price — MODELLED)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Segment</t>
        </is>
      </c>
      <c r="B25" s="5" t="inlineStr">
        <is>
          <t>Share of fwd volume</t>
        </is>
      </c>
      <c r="C25" s="5" t="inlineStr">
        <is>
          <t>Beds</t>
        </is>
      </c>
      <c r="D25" s="5" t="inlineStr">
        <is>
          <t>Price</t>
        </is>
      </c>
      <c r="E25" s="5" t="inlineStr">
        <is>
          <t>Forward revenue</t>
        </is>
      </c>
    </row>
    <row r="26">
      <c r="A26" s="6" t="inlineStr">
        <is>
          <t>Donor-funded institutional</t>
        </is>
      </c>
      <c r="B26" s="28" t="n">
        <v>0.6</v>
      </c>
      <c r="C26" s="16">
        <f>ROUND('Control Panel'!$B$6*B26,0)</f>
        <v/>
      </c>
      <c r="D26" s="23">
        <f>'Control Panel'!$B$13</f>
        <v/>
      </c>
      <c r="E26" s="23">
        <f>C26*D26</f>
        <v/>
      </c>
    </row>
    <row r="27">
      <c r="A27" s="6" t="inlineStr">
        <is>
          <t>Direct institutional commercial</t>
        </is>
      </c>
      <c r="B27" s="28" t="n">
        <v>0.2</v>
      </c>
      <c r="C27" s="16">
        <f>ROUND('Control Panel'!$B$6*B27,0)</f>
        <v/>
      </c>
      <c r="D27" s="23">
        <f>'Control Panel'!$B$13</f>
        <v/>
      </c>
      <c r="E27" s="23">
        <f>C27*D27</f>
        <v/>
      </c>
    </row>
    <row r="28">
      <c r="A28" s="6" t="inlineStr">
        <is>
          <t>Corporate / RAP</t>
        </is>
      </c>
      <c r="B28" s="28" t="n">
        <v>0.08</v>
      </c>
      <c r="C28" s="16">
        <f>ROUND('Control Panel'!$B$6*B28,0)</f>
        <v/>
      </c>
      <c r="D28" s="23">
        <f>'Control Panel'!$B$13</f>
        <v/>
      </c>
      <c r="E28" s="23">
        <f>C28*D28</f>
        <v/>
      </c>
    </row>
    <row r="29">
      <c r="A29" s="6" t="inlineStr">
        <is>
          <t>Community / maker</t>
        </is>
      </c>
      <c r="B29" s="28" t="n">
        <v>0.07000000000000001</v>
      </c>
      <c r="C29" s="16">
        <f>ROUND('Control Panel'!$B$6*B29,0)</f>
        <v/>
      </c>
      <c r="D29" s="23">
        <f>'Control Panel'!$B$13</f>
        <v/>
      </c>
      <c r="E29" s="23">
        <f>C29*D29</f>
        <v/>
      </c>
    </row>
    <row r="30">
      <c r="A30" s="6" t="inlineStr">
        <is>
          <t>Direct retail / B2C</t>
        </is>
      </c>
      <c r="B30" s="28" t="n">
        <v>0.05</v>
      </c>
      <c r="C30" s="16">
        <f>ROUND('Control Panel'!$B$6*B30,0)</f>
        <v/>
      </c>
      <c r="D30" s="23">
        <f>'Control Panel'!$B$13</f>
        <v/>
      </c>
      <c r="E30" s="23">
        <f>C30*D30</f>
        <v/>
      </c>
    </row>
    <row r="31">
      <c r="A31" s="18" t="inlineStr">
        <is>
          <t>TOTAL forward revenue (= Volume x Price)</t>
        </is>
      </c>
      <c r="B31" s="29" t="inlineStr">
        <is>
          <t>Shares should sum to 100%</t>
        </is>
      </c>
      <c r="E31" s="14">
        <f>SUM(E26:E30)</f>
        <v/>
      </c>
    </row>
  </sheetData>
  <mergeCells count="2">
    <mergeCell ref="A2:G2"/>
    <mergeCell ref="A22:G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P&amp;L — verified actuals reconciliation + forward (dial-driven)</t>
        </is>
      </c>
    </row>
    <row r="2">
      <c r="A2" s="2" t="inlineStr">
        <is>
          <t>ACTUALS reconcile to the locked v0.2: surplus before founder time $340,585; after period founder time ~$151,585. FORWARD P&amp;L is dial-driven (Revenue − COGS − wages/overhead − founder time).</t>
        </is>
      </c>
    </row>
    <row r="4">
      <c r="A4" s="3" t="inlineStr">
        <is>
          <t>VERIFIED ACTUALS — PERIOD (single cash basis)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Line</t>
        </is>
      </c>
      <c r="B5" s="5" t="inlineStr">
        <is>
          <t>Amount</t>
        </is>
      </c>
      <c r="C5" s="5" t="inlineStr">
        <is>
          <t>Status</t>
        </is>
      </c>
      <c r="D5" s="5" t="inlineStr">
        <is>
          <t>Source</t>
        </is>
      </c>
      <c r="E5" s="5" t="inlineStr"/>
    </row>
    <row r="6">
      <c r="A6" s="6" t="inlineStr">
        <is>
          <t>Revenue received</t>
        </is>
      </c>
      <c r="B6" s="17" t="n">
        <v>649710.79</v>
      </c>
      <c r="C6" s="6" t="inlineStr">
        <is>
          <t>VERIFIED</t>
        </is>
      </c>
      <c r="D6" s="6" t="inlineStr">
        <is>
          <t>live Xero mirror, 16 PAID invoices</t>
        </is>
      </c>
    </row>
    <row r="7">
      <c r="A7" s="6" t="inlineStr">
        <is>
          <t>Total ACT-GD bank spend (NAB Visa ACT + ACT Everyday)</t>
        </is>
      </c>
      <c r="B7" s="23" t="n">
        <v>323106</v>
      </c>
      <c r="C7" s="6" t="inlineStr">
        <is>
          <t>VERIFIED</t>
        </is>
      </c>
      <c r="D7" s="6" t="inlineStr">
        <is>
          <t>single cash basis</t>
        </is>
      </c>
    </row>
    <row r="8">
      <c r="A8" s="6" t="inlineStr">
        <is>
          <t>Less: 1300 Washer reclass to ACT-FM</t>
        </is>
      </c>
      <c r="B8" s="23" t="n">
        <v>-13980</v>
      </c>
      <c r="C8" s="6" t="inlineStr">
        <is>
          <t>VERIFIED</t>
        </is>
      </c>
      <c r="D8" s="6" t="inlineStr">
        <is>
          <t>washing machine belongs ACT-FM</t>
        </is>
      </c>
    </row>
    <row r="9">
      <c r="A9" s="18" t="inlineStr">
        <is>
          <t>Goods cash out (bank spend − washer reclass)</t>
        </is>
      </c>
      <c r="B9" s="30">
        <f>B7+B8</f>
        <v/>
      </c>
    </row>
    <row r="10">
      <c r="A10" s="18" t="inlineStr">
        <is>
          <t>Operating surplus BEFORE founder time</t>
        </is>
      </c>
      <c r="B10" s="14">
        <f>B6-$B$9</f>
        <v/>
      </c>
      <c r="C10" s="6" t="inlineStr">
        <is>
          <t>VERIFIED basis</t>
        </is>
      </c>
      <c r="D10" s="6" t="inlineStr">
        <is>
          <t>reconciles to ~$340,585</t>
        </is>
      </c>
    </row>
    <row r="11">
      <c r="A11" t="inlineStr">
        <is>
          <t>Operating margin before founder time (on received)</t>
        </is>
      </c>
      <c r="B11" s="27">
        <f>$B$10/B6</f>
        <v/>
      </c>
      <c r="C11" s="6" t="inlineStr">
        <is>
          <t>MODELLED</t>
        </is>
      </c>
    </row>
    <row r="12">
      <c r="A12" t="inlineStr">
        <is>
          <t>Founder time over the period ($560 x 150 x 27/12)</t>
        </is>
      </c>
      <c r="B12" s="23">
        <f>'Control Panel'!$B$9*'Control Panel'!$B$10*27/12</f>
        <v/>
      </c>
      <c r="C12" s="6" t="inlineStr">
        <is>
          <t>MODELLED</t>
        </is>
      </c>
      <c r="D12" s="6" t="inlineStr">
        <is>
          <t>27-month cash-actuals span</t>
        </is>
      </c>
    </row>
    <row r="13">
      <c r="A13" s="18" t="inlineStr">
        <is>
          <t>Operating surplus AFTER founder time (period)</t>
        </is>
      </c>
      <c r="B13" s="14">
        <f>$B$10-$B$12</f>
        <v/>
      </c>
      <c r="C13" s="6" t="inlineStr">
        <is>
          <t>VERIFIED − MODELLED</t>
        </is>
      </c>
      <c r="D13" s="6" t="inlineStr">
        <is>
          <t>reconciles to ~$151,585</t>
        </is>
      </c>
    </row>
    <row r="15">
      <c r="A15" s="3" t="inlineStr">
        <is>
          <t>FORWARD ANNUAL P&amp;L (dial-driven)</t>
        </is>
      </c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Line</t>
        </is>
      </c>
      <c r="B16" s="5" t="inlineStr">
        <is>
          <t>Amount</t>
        </is>
      </c>
      <c r="C16" s="5" t="inlineStr">
        <is>
          <t>Status</t>
        </is>
      </c>
      <c r="D16" s="5" t="inlineStr">
        <is>
          <t>How computed</t>
        </is>
      </c>
      <c r="E16" s="5" t="inlineStr"/>
    </row>
    <row r="17">
      <c r="A17" s="6" t="inlineStr">
        <is>
          <t>Revenue (Volume x Price)</t>
        </is>
      </c>
      <c r="B17" s="23">
        <f>'Control Panel'!$B$6*'Control Panel'!$B$13</f>
        <v/>
      </c>
      <c r="C17" s="6" t="inlineStr">
        <is>
          <t>MODELLED</t>
        </is>
      </c>
      <c r="D17" s="6" t="inlineStr">
        <is>
          <t>Volume x Price dials</t>
        </is>
      </c>
    </row>
    <row r="18">
      <c r="A18" s="6" t="inlineStr">
        <is>
          <t>COGS (Volume x selected marginal cost)</t>
        </is>
      </c>
      <c r="B18" s="23">
        <f>-'Control Panel'!$B$6*CHOOSE('Control Panel'!$B$7,'Unit Cost'!$F$25,'Unit Cost'!$F$26,'Unit Cost'!$F$27,'Unit Cost'!$F$28)</f>
        <v/>
      </c>
      <c r="C18" s="6" t="inlineStr">
        <is>
          <t>MODELLED</t>
        </is>
      </c>
      <c r="D18" s="6" t="inlineStr">
        <is>
          <t>CHOOSE on method dial</t>
        </is>
      </c>
    </row>
    <row r="19">
      <c r="A19" s="18" t="inlineStr">
        <is>
          <t>Gross profit</t>
        </is>
      </c>
      <c r="B19" s="30">
        <f>B17+B18</f>
        <v/>
      </c>
    </row>
    <row r="20">
      <c r="A20" s="6" t="inlineStr">
        <is>
          <t>Non-founder fixed block (Kirmos + admin + field)</t>
        </is>
      </c>
      <c r="B20" s="23">
        <f>-'Unit Cost'!$B$56</f>
        <v/>
      </c>
      <c r="C20" s="6" t="inlineStr">
        <is>
          <t>MODELLED</t>
        </is>
      </c>
    </row>
    <row r="21">
      <c r="A21" s="6" t="inlineStr">
        <is>
          <t>Future-hire wages (toggle-driven)</t>
        </is>
      </c>
      <c r="B21" s="23">
        <f>-'Wages &amp; People'!$E$17</f>
        <v/>
      </c>
      <c r="C21" s="6" t="inlineStr">
        <is>
          <t>MODELLED</t>
        </is>
      </c>
    </row>
    <row r="22">
      <c r="A22" s="18" t="inlineStr">
        <is>
          <t>Operating surplus BEFORE founder time (fwd)</t>
        </is>
      </c>
      <c r="B22" s="14">
        <f>B19+B20+B21</f>
        <v/>
      </c>
    </row>
    <row r="23">
      <c r="A23" s="6" t="inlineStr">
        <is>
          <t>Founder time ($560 x 150)</t>
        </is>
      </c>
      <c r="B23" s="23">
        <f>-'Control Panel'!$B$9*'Control Panel'!$B$10</f>
        <v/>
      </c>
      <c r="C23" s="6" t="inlineStr">
        <is>
          <t>LOCKED</t>
        </is>
      </c>
    </row>
    <row r="24">
      <c r="A24" s="18" t="inlineStr">
        <is>
          <t>Operating surplus AFTER founder time (fwd)</t>
        </is>
      </c>
      <c r="B24" s="14">
        <f>B22+B23</f>
        <v/>
      </c>
    </row>
    <row r="26">
      <c r="A26" s="2" t="inlineStr">
        <is>
          <t>Forward P&amp;L is illustrative annual run-rate at the dialled volume/method. COGS uses the selected marginal cost; fixed block + founder time are annual. Change the method dial on the Control Panel and Gross profit + both surplus lines move.</t>
        </is>
      </c>
    </row>
  </sheetData>
  <mergeCells count="2">
    <mergeCell ref="A26:G26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Balance Sheet &amp; Working Capital — scaffold</t>
        </is>
      </c>
    </row>
    <row r="2">
      <c r="A2" s="2" t="inlineStr">
        <is>
          <t>AP genuinely owed ≈ $0 (AUTHORISED bills = payment-matching gap, paid from ACT accounts). NO director loan ($0 personal spend). Net WC = +$82,500 (Rotary AR). Capex = containerised factories. This is a scaffold, not a balanced sheet — accountant items flagged TO CONFIRM.</t>
        </is>
      </c>
    </row>
    <row r="4">
      <c r="A4" s="3" t="inlineStr">
        <is>
          <t>ASSETS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Line item</t>
        </is>
      </c>
      <c r="B5" s="5" t="inlineStr">
        <is>
          <t>Amount</t>
        </is>
      </c>
      <c r="C5" s="5" t="inlineStr">
        <is>
          <t>Status</t>
        </is>
      </c>
      <c r="D5" s="5" t="inlineStr">
        <is>
          <t>Source / note</t>
        </is>
      </c>
    </row>
    <row r="6">
      <c r="A6" s="6" t="inlineStr">
        <is>
          <t>Cash — opening @ 1 May 2026</t>
        </is>
      </c>
      <c r="B6" s="23">
        <f>'Control Panel'!$B$12</f>
        <v/>
      </c>
      <c r="C6" s="9" t="inlineStr">
        <is>
          <t>WORKING</t>
        </is>
      </c>
      <c r="D6" s="8" t="inlineStr">
        <is>
          <t>LIVE DIAL. $50,000 placeholder = ACT-accounts carve-out attributable to Goods.</t>
        </is>
      </c>
    </row>
    <row r="7">
      <c r="A7" s="6" t="inlineStr">
        <is>
          <t>Accounts receivable — Rotary INV-0222</t>
        </is>
      </c>
      <c r="B7" s="23" t="n">
        <v>82500</v>
      </c>
      <c r="C7" s="9" t="inlineStr">
        <is>
          <t>VERIFIED</t>
        </is>
      </c>
      <c r="D7" s="8" t="inlineStr">
        <is>
          <t>ACT-GD ACCREC genuinely owed; no matching RECEIVE txn.</t>
        </is>
      </c>
    </row>
    <row r="8">
      <c r="A8" s="6" t="inlineStr">
        <is>
          <t>Accounts receivable — full ageing</t>
        </is>
      </c>
      <c r="B8" s="6" t="inlineStr">
        <is>
          <t>—</t>
        </is>
      </c>
      <c r="C8" s="11" t="inlineStr">
        <is>
          <t>TO CONFIRM</t>
        </is>
      </c>
      <c r="D8" s="8" t="inlineStr">
        <is>
          <t>30/60/90 ageing from accountant.</t>
        </is>
      </c>
    </row>
    <row r="9">
      <c r="A9" s="6" t="inlineStr">
        <is>
          <t>Inventory — finished beds + WIP</t>
        </is>
      </c>
      <c r="B9" s="6" t="inlineStr">
        <is>
          <t>—</t>
        </is>
      </c>
      <c r="C9" s="11" t="inlineStr">
        <is>
          <t>TO CONFIRM</t>
        </is>
      </c>
      <c r="D9" s="8" t="inlineStr">
        <is>
          <t>Not yet valued. Day 6 modelled $50K one-time build.</t>
        </is>
      </c>
    </row>
    <row r="10">
      <c r="A10" s="6" t="inlineStr">
        <is>
          <t>Plant &amp; equipment — capex invested</t>
        </is>
      </c>
      <c r="B10" s="23" t="n">
        <v>110046</v>
      </c>
      <c r="C10" s="9" t="inlineStr">
        <is>
          <t>VERIFIED</t>
        </is>
      </c>
      <c r="D10" s="8" t="inlineStr">
        <is>
          <t>Carbatec tooling $10,046 + facility; inside the $323,106 cash spend.</t>
        </is>
      </c>
    </row>
    <row r="11">
      <c r="A11" s="6" t="inlineStr">
        <is>
          <t>Plant &amp; equipment — containerised factories (planned)</t>
        </is>
      </c>
      <c r="B11" s="23">
        <f>'Control Panel'!$B$8*'Unit Cost'!$B$45</f>
        <v/>
      </c>
      <c r="C11" s="9" t="inlineStr">
        <is>
          <t>TARGET</t>
        </is>
      </c>
      <c r="D11" s="8" t="inlineStr">
        <is>
          <t># factories dial x gross capex per factory (low $112K). Capex band $112K-$222K; net ask $90K-$200K after $110K invested.</t>
        </is>
      </c>
    </row>
    <row r="12">
      <c r="A12" s="6" t="inlineStr">
        <is>
          <t>R&amp;D Tax Incentive refund receivable</t>
        </is>
      </c>
      <c r="B12" s="6" t="inlineStr">
        <is>
          <t>—</t>
        </is>
      </c>
      <c r="C12" s="11" t="inlineStr">
        <is>
          <t>TO CONFIRM</t>
        </is>
      </c>
      <c r="D12" s="8" t="inlineStr">
        <is>
          <t>~$80K/yr modelled; accrual treatment TBC.</t>
        </is>
      </c>
    </row>
    <row r="14">
      <c r="A14" s="3" t="inlineStr">
        <is>
          <t>LIABILITIES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Line item</t>
        </is>
      </c>
      <c r="B15" s="5" t="inlineStr">
        <is>
          <t>Amount</t>
        </is>
      </c>
      <c r="C15" s="5" t="inlineStr">
        <is>
          <t>Status</t>
        </is>
      </c>
      <c r="D15" s="5" t="inlineStr">
        <is>
          <t>Source / note</t>
        </is>
      </c>
    </row>
    <row r="16">
      <c r="A16" s="6" t="inlineStr">
        <is>
          <t>Accounts payable — genuinely owed</t>
        </is>
      </c>
      <c r="B16" s="23" t="n">
        <v>0</v>
      </c>
      <c r="C16" s="9" t="inlineStr">
        <is>
          <t>VERIFIED</t>
        </is>
      </c>
      <c r="D16" s="8" t="inlineStr">
        <is>
          <t>≈ $0. The ~$124,878 AUTHORISED bills = payment-matching gap, NOT debt.</t>
        </is>
      </c>
    </row>
    <row r="17">
      <c r="A17" s="6" t="inlineStr">
        <is>
          <t>AUTHORISED ACCPAY bills (matching gap — memo only)</t>
        </is>
      </c>
      <c r="B17" s="23" t="n">
        <v>124878</v>
      </c>
      <c r="C17" s="9" t="inlineStr">
        <is>
          <t>VERIFIED</t>
        </is>
      </c>
      <c r="D17" s="8" t="inlineStr">
        <is>
          <t>Already paid from ACT accounts; apply existing payments, do not pay again.</t>
        </is>
      </c>
    </row>
    <row r="18">
      <c r="A18" s="6" t="inlineStr">
        <is>
          <t>GST net payable (rough, accountant to finalise)</t>
        </is>
      </c>
      <c r="B18" s="23" t="n">
        <v>29657</v>
      </c>
      <c r="C18" s="9" t="inlineStr">
        <is>
          <t>MODELLED</t>
        </is>
      </c>
      <c r="D18" s="8" t="inlineStr">
        <is>
          <t>output GST $62,019 − input GST $32,362.</t>
        </is>
      </c>
    </row>
    <row r="19">
      <c r="A19" s="6" t="inlineStr">
        <is>
          <t>Director loan / reimbursement</t>
        </is>
      </c>
      <c r="B19" s="23" t="n">
        <v>0</v>
      </c>
      <c r="C19" s="9" t="inlineStr">
        <is>
          <t>VERIFIED</t>
        </is>
      </c>
      <c r="D19" s="8" t="inlineStr">
        <is>
          <t>NONE. All ACT-GD spend from ACT business accounts; $0 personal.</t>
        </is>
      </c>
    </row>
    <row r="20">
      <c r="A20" s="6" t="inlineStr">
        <is>
          <t>Debt — SEFA working capital (planned, not drawn)</t>
        </is>
      </c>
      <c r="B20" s="23" t="n">
        <v>300000</v>
      </c>
      <c r="C20" s="9" t="inlineStr">
        <is>
          <t>MODELLED</t>
        </is>
      </c>
      <c r="D20" s="8" t="inlineStr">
        <is>
          <t>Day 8 concessional ~4-6%, close target Nov 2026.</t>
        </is>
      </c>
    </row>
    <row r="22">
      <c r="A22" s="31" t="inlineStr">
        <is>
          <t>WORKING-CAPITAL SIGNAL (verified basis — NOT a squeeze)</t>
        </is>
      </c>
      <c r="B22" s="32" t="n"/>
      <c r="C22" s="32" t="n"/>
      <c r="D22" s="32" t="n"/>
      <c r="E22" s="32" t="n"/>
      <c r="F22" s="32" t="n"/>
      <c r="G22" s="32" t="n"/>
    </row>
    <row r="23">
      <c r="A23" s="6" t="inlineStr">
        <is>
          <t>Receivables due (AR)</t>
        </is>
      </c>
      <c r="B23" s="23" t="n">
        <v>82500</v>
      </c>
    </row>
    <row r="24">
      <c r="A24" s="6" t="inlineStr">
        <is>
          <t>Payables genuinely owed (AP)</t>
        </is>
      </c>
      <c r="B24" s="23" t="n">
        <v>0</v>
      </c>
    </row>
    <row r="25">
      <c r="A25" s="18" t="inlineStr">
        <is>
          <t>Net working-capital signal (AR − AP)</t>
        </is>
      </c>
      <c r="B25" s="14">
        <f>B23-B24</f>
        <v/>
      </c>
      <c r="D25" s="22" t="inlineStr">
        <is>
          <t>Net POSITIVE ≈ +$82,500. v0.1's −$44.4K 'squeeze' was an artefact. NO working-capital squeeze.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Cashflow — 36 months (May 2026 → Apr 2029)</t>
        </is>
      </c>
    </row>
    <row r="2">
      <c r="A2" s="2" t="inlineStr">
        <is>
          <t>MODELLED. Opening cash = LIVE DIAL (Control Panel). Cumulative column is FORMULA-DRIVEN off the dial — the trough recomputes live. Capital injections are TOGGLES (col D, 1=on/0=off). Base-case monthly deltas from Day 6. No working-capital squeeze (AP ≈ $0).</t>
        </is>
      </c>
    </row>
    <row r="4">
      <c r="A4" s="31" t="inlineStr">
        <is>
          <t>CAPITAL INJECTIONS (toggle col B, 1=on/0=off — MODELLED, not committed)</t>
        </is>
      </c>
      <c r="B4" s="32" t="n"/>
      <c r="C4" s="32" t="n"/>
      <c r="D4" s="32" t="n"/>
      <c r="E4" s="32" t="n"/>
      <c r="F4" s="32" t="n"/>
      <c r="G4" s="32" t="n"/>
    </row>
    <row r="5">
      <c r="A5" s="5" t="inlineStr">
        <is>
          <t>Injection</t>
        </is>
      </c>
      <c r="B5" s="5" t="inlineStr">
        <is>
          <t>On (1/0)</t>
        </is>
      </c>
      <c r="C5" s="5" t="inlineStr">
        <is>
          <t>Amount</t>
        </is>
      </c>
      <c r="D5" s="5" t="inlineStr">
        <is>
          <t>Month</t>
        </is>
      </c>
      <c r="E5" s="5" t="inlineStr">
        <is>
          <t>Applied</t>
        </is>
      </c>
    </row>
    <row r="6">
      <c r="A6" s="6" t="inlineStr">
        <is>
          <t>QBE Catalysing Impact match</t>
        </is>
      </c>
      <c r="B6" s="25" t="n">
        <v>1</v>
      </c>
      <c r="C6" s="23" t="n">
        <v>400000</v>
      </c>
      <c r="D6" s="26" t="inlineStr">
        <is>
          <t>Sep 2026</t>
        </is>
      </c>
      <c r="E6" s="23">
        <f>B6*C6</f>
        <v/>
      </c>
    </row>
    <row r="7">
      <c r="A7" s="6" t="inlineStr">
        <is>
          <t>SEFA working-capital loan</t>
        </is>
      </c>
      <c r="B7" s="25" t="n">
        <v>1</v>
      </c>
      <c r="C7" s="23" t="n">
        <v>300000</v>
      </c>
      <c r="D7" s="26" t="inlineStr">
        <is>
          <t>Nov 2026</t>
        </is>
      </c>
      <c r="E7" s="23">
        <f>B7*C7</f>
        <v/>
      </c>
    </row>
    <row r="8">
      <c r="A8" s="6" t="inlineStr">
        <is>
          <t>Anchor philanthropic raise</t>
        </is>
      </c>
      <c r="B8" s="25" t="n">
        <v>1</v>
      </c>
      <c r="C8" s="23" t="n">
        <v>500000</v>
      </c>
      <c r="D8" s="26" t="inlineStr">
        <is>
          <t>Jan 2027</t>
        </is>
      </c>
      <c r="E8" s="23">
        <f>B8*C8</f>
        <v/>
      </c>
    </row>
    <row r="9">
      <c r="A9" s="31" t="inlineStr">
        <is>
          <t>Cash trough (minimum cumulative cash)</t>
        </is>
      </c>
      <c r="B9" s="14">
        <f>MIN(E14:E49)</f>
        <v/>
      </c>
      <c r="C9" s="32" t="n"/>
      <c r="D9" s="33" t="inlineStr">
        <is>
          <t>Recomputes live off the opening-cash dial. Base ($50K opening) ~ -$94K Aug-26.</t>
        </is>
      </c>
      <c r="E9" s="32" t="n"/>
      <c r="F9" s="32" t="n"/>
      <c r="G9" s="32" t="n"/>
    </row>
    <row r="10">
      <c r="A10" s="18" t="inlineStr">
        <is>
          <t>Runway at trough (months, modelled burn)</t>
        </is>
      </c>
      <c r="B10" s="15">
        <f>IF(MIN(E14:E49)&gt;=0,"positive throughout",ROUND(MIN(E14:E49)/ABS(AVERAGE(B15:B22)),1))</f>
        <v/>
      </c>
      <c r="D10" s="34" t="inlineStr">
        <is>
          <t>Trough cash / avg monthly op burn (negative phase). Illustrative.</t>
        </is>
      </c>
    </row>
    <row r="12">
      <c r="A12" s="3" t="inlineStr">
        <is>
          <t>MONTHLY CASHFLOW (cumulative recomputes off opening-cash dial)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Month</t>
        </is>
      </c>
      <c r="B13" s="5" t="inlineStr">
        <is>
          <t>Net op cashflow</t>
        </is>
      </c>
      <c r="C13" s="5" t="inlineStr">
        <is>
          <t>Capital in</t>
        </is>
      </c>
      <c r="D13" s="5" t="inlineStr">
        <is>
          <t>Net monthly Δ</t>
        </is>
      </c>
      <c r="E13" s="5" t="inlineStr">
        <is>
          <t>Cumulative cash</t>
        </is>
      </c>
      <c r="F13" s="5" t="inlineStr">
        <is>
          <t>Buffer state</t>
        </is>
      </c>
    </row>
    <row r="14">
      <c r="A14" s="6" t="inlineStr">
        <is>
          <t>May 2026</t>
        </is>
      </c>
      <c r="B14" s="23" t="n">
        <v>0</v>
      </c>
      <c r="C14" s="23" t="n">
        <v>0</v>
      </c>
      <c r="D14" s="23">
        <f>B14+C14</f>
        <v/>
      </c>
      <c r="E14" s="23">
        <f>'Control Panel'!$B$12+D14</f>
        <v/>
      </c>
      <c r="F14" s="35">
        <f>IF(E14&lt;0,"NEGATIVE",IF(E14&lt;140000,"BELOW_FLOOR",IF(E14&lt;280000,"BELOW_TARGET","OK")))</f>
        <v/>
      </c>
    </row>
    <row r="15">
      <c r="A15" s="6" t="inlineStr">
        <is>
          <t>Jun 2026</t>
        </is>
      </c>
      <c r="B15" s="23" t="n">
        <v>-48161</v>
      </c>
      <c r="C15" s="23" t="n">
        <v>0</v>
      </c>
      <c r="D15" s="23">
        <f>B15+C15</f>
        <v/>
      </c>
      <c r="E15" s="23">
        <f>E14+D15</f>
        <v/>
      </c>
      <c r="F15" s="35">
        <f>IF(E15&lt;0,"NEGATIVE",IF(E15&lt;140000,"BELOW_FLOOR",IF(E15&lt;280000,"BELOW_TARGET","OK")))</f>
        <v/>
      </c>
    </row>
    <row r="16">
      <c r="A16" s="6" t="inlineStr">
        <is>
          <t>Jul 2026</t>
        </is>
      </c>
      <c r="B16" s="23" t="n">
        <v>-48161</v>
      </c>
      <c r="C16" s="23" t="n">
        <v>0</v>
      </c>
      <c r="D16" s="23">
        <f>B16+C16</f>
        <v/>
      </c>
      <c r="E16" s="23">
        <f>E15+D16</f>
        <v/>
      </c>
      <c r="F16" s="35">
        <f>IF(E16&lt;0,"NEGATIVE",IF(E16&lt;140000,"BELOW_FLOOR",IF(E16&lt;280000,"BELOW_TARGET","OK")))</f>
        <v/>
      </c>
    </row>
    <row r="17">
      <c r="A17" s="6" t="inlineStr">
        <is>
          <t>Aug 2026</t>
        </is>
      </c>
      <c r="B17" s="23" t="n">
        <v>-48161</v>
      </c>
      <c r="C17" s="23" t="n">
        <v>0</v>
      </c>
      <c r="D17" s="23">
        <f>B17+C17</f>
        <v/>
      </c>
      <c r="E17" s="23">
        <f>E16+D17</f>
        <v/>
      </c>
      <c r="F17" s="35">
        <f>IF(E17&lt;0,"NEGATIVE",IF(E17&lt;140000,"BELOW_FLOOR",IF(E17&lt;280000,"BELOW_TARGET","OK")))</f>
        <v/>
      </c>
    </row>
    <row r="18">
      <c r="A18" s="6" t="inlineStr">
        <is>
          <t>Sep 2026</t>
        </is>
      </c>
      <c r="B18" s="23" t="n">
        <v>-2042</v>
      </c>
      <c r="C18" s="23">
        <f>$E$6</f>
        <v/>
      </c>
      <c r="D18" s="23">
        <f>B18+C18</f>
        <v/>
      </c>
      <c r="E18" s="23">
        <f>E17+D18</f>
        <v/>
      </c>
      <c r="F18" s="35">
        <f>IF(E18&lt;0,"NEGATIVE",IF(E18&lt;140000,"BELOW_FLOOR",IF(E18&lt;280000,"BELOW_TARGET","OK")))</f>
        <v/>
      </c>
    </row>
    <row r="19">
      <c r="A19" s="6" t="inlineStr">
        <is>
          <t>Oct 2026</t>
        </is>
      </c>
      <c r="B19" s="23" t="n">
        <v>-54208</v>
      </c>
      <c r="C19" s="23" t="n">
        <v>0</v>
      </c>
      <c r="D19" s="23">
        <f>B19+C19</f>
        <v/>
      </c>
      <c r="E19" s="23">
        <f>E18+D19</f>
        <v/>
      </c>
      <c r="F19" s="35">
        <f>IF(E19&lt;0,"NEGATIVE",IF(E19&lt;140000,"BELOW_FLOOR",IF(E19&lt;280000,"BELOW_TARGET","OK")))</f>
        <v/>
      </c>
    </row>
    <row r="20">
      <c r="A20" s="6" t="inlineStr">
        <is>
          <t>Nov 2026</t>
        </is>
      </c>
      <c r="B20" s="23" t="n">
        <v>-54208</v>
      </c>
      <c r="C20" s="23">
        <f>$E$7</f>
        <v/>
      </c>
      <c r="D20" s="23">
        <f>B20+C20</f>
        <v/>
      </c>
      <c r="E20" s="23">
        <f>E19+D20</f>
        <v/>
      </c>
      <c r="F20" s="35">
        <f>IF(E20&lt;0,"NEGATIVE",IF(E20&lt;140000,"BELOW_FLOOR",IF(E20&lt;280000,"BELOW_TARGET","OK")))</f>
        <v/>
      </c>
    </row>
    <row r="21">
      <c r="A21" s="6" t="inlineStr">
        <is>
          <t>Dec 2026</t>
        </is>
      </c>
      <c r="B21" s="23" t="n">
        <v>-12875</v>
      </c>
      <c r="C21" s="23" t="n">
        <v>0</v>
      </c>
      <c r="D21" s="23">
        <f>B21+C21</f>
        <v/>
      </c>
      <c r="E21" s="23">
        <f>E20+D21</f>
        <v/>
      </c>
      <c r="F21" s="35">
        <f>IF(E21&lt;0,"NEGATIVE",IF(E21&lt;140000,"BELOW_FLOOR",IF(E21&lt;280000,"BELOW_TARGET","OK")))</f>
        <v/>
      </c>
    </row>
    <row r="22">
      <c r="A22" s="6" t="inlineStr">
        <is>
          <t>Jan 2027</t>
        </is>
      </c>
      <c r="B22" s="23" t="n">
        <v>-12875</v>
      </c>
      <c r="C22" s="23">
        <f>$E$8</f>
        <v/>
      </c>
      <c r="D22" s="23">
        <f>B22+C22</f>
        <v/>
      </c>
      <c r="E22" s="23">
        <f>E21+D22</f>
        <v/>
      </c>
      <c r="F22" s="35">
        <f>IF(E22&lt;0,"NEGATIVE",IF(E22&lt;140000,"BELOW_FLOOR",IF(E22&lt;280000,"BELOW_TARGET","OK")))</f>
        <v/>
      </c>
    </row>
    <row r="23">
      <c r="A23" s="6" t="inlineStr">
        <is>
          <t>Feb 2027</t>
        </is>
      </c>
      <c r="B23" s="23" t="n">
        <v>7681</v>
      </c>
      <c r="C23" s="23" t="n">
        <v>0</v>
      </c>
      <c r="D23" s="23">
        <f>B23+C23</f>
        <v/>
      </c>
      <c r="E23" s="23">
        <f>E22+D23</f>
        <v/>
      </c>
      <c r="F23" s="35">
        <f>IF(E23&lt;0,"NEGATIVE",IF(E23&lt;140000,"BELOW_FLOOR",IF(E23&lt;280000,"BELOW_TARGET","OK")))</f>
        <v/>
      </c>
    </row>
    <row r="24">
      <c r="A24" s="6" t="inlineStr">
        <is>
          <t>Mar 2027</t>
        </is>
      </c>
      <c r="B24" s="23" t="n">
        <v>7681</v>
      </c>
      <c r="C24" s="23" t="n">
        <v>0</v>
      </c>
      <c r="D24" s="23">
        <f>B24+C24</f>
        <v/>
      </c>
      <c r="E24" s="23">
        <f>E23+D24</f>
        <v/>
      </c>
      <c r="F24" s="35">
        <f>IF(E24&lt;0,"NEGATIVE",IF(E24&lt;140000,"BELOW_FLOOR",IF(E24&lt;280000,"BELOW_TARGET","OK")))</f>
        <v/>
      </c>
    </row>
    <row r="25">
      <c r="A25" s="6" t="inlineStr">
        <is>
          <t>Apr 2027</t>
        </is>
      </c>
      <c r="B25" s="23" t="n">
        <v>7681</v>
      </c>
      <c r="C25" s="23" t="n">
        <v>0</v>
      </c>
      <c r="D25" s="23">
        <f>B25+C25</f>
        <v/>
      </c>
      <c r="E25" s="23">
        <f>E24+D25</f>
        <v/>
      </c>
      <c r="F25" s="35">
        <f>IF(E25&lt;0,"NEGATIVE",IF(E25&lt;140000,"BELOW_FLOOR",IF(E25&lt;280000,"BELOW_TARGET","OK")))</f>
        <v/>
      </c>
    </row>
    <row r="26">
      <c r="A26" s="6" t="inlineStr">
        <is>
          <t>May 2027</t>
        </is>
      </c>
      <c r="B26" s="23" t="n">
        <v>97281</v>
      </c>
      <c r="C26" s="23" t="n">
        <v>0</v>
      </c>
      <c r="D26" s="23">
        <f>B26+C26</f>
        <v/>
      </c>
      <c r="E26" s="23">
        <f>E25+D26</f>
        <v/>
      </c>
      <c r="F26" s="35">
        <f>IF(E26&lt;0,"NEGATIVE",IF(E26&lt;140000,"BELOW_FLOOR",IF(E26&lt;280000,"BELOW_TARGET","OK")))</f>
        <v/>
      </c>
    </row>
    <row r="27">
      <c r="A27" s="6" t="inlineStr">
        <is>
          <t>Jun 2027</t>
        </is>
      </c>
      <c r="B27" s="23" t="n">
        <v>40000</v>
      </c>
      <c r="C27" s="23" t="n">
        <v>0</v>
      </c>
      <c r="D27" s="23">
        <f>B27+C27</f>
        <v/>
      </c>
      <c r="E27" s="23">
        <f>E26+D27</f>
        <v/>
      </c>
      <c r="F27" s="35">
        <f>IF(E27&lt;0,"NEGATIVE",IF(E27&lt;140000,"BELOW_FLOOR",IF(E27&lt;280000,"BELOW_TARGET","OK")))</f>
        <v/>
      </c>
    </row>
    <row r="28">
      <c r="A28" s="6" t="inlineStr">
        <is>
          <t>Jul 2027</t>
        </is>
      </c>
      <c r="B28" s="23" t="n">
        <v>40000</v>
      </c>
      <c r="C28" s="23" t="n">
        <v>0</v>
      </c>
      <c r="D28" s="23">
        <f>B28+C28</f>
        <v/>
      </c>
      <c r="E28" s="23">
        <f>E27+D28</f>
        <v/>
      </c>
      <c r="F28" s="35">
        <f>IF(E28&lt;0,"NEGATIVE",IF(E28&lt;140000,"BELOW_FLOOR",IF(E28&lt;280000,"BELOW_TARGET","OK")))</f>
        <v/>
      </c>
    </row>
    <row r="29">
      <c r="A29" s="6" t="inlineStr">
        <is>
          <t>Aug 2027</t>
        </is>
      </c>
      <c r="B29" s="23" t="n">
        <v>40000</v>
      </c>
      <c r="C29" s="23" t="n">
        <v>0</v>
      </c>
      <c r="D29" s="23">
        <f>B29+C29</f>
        <v/>
      </c>
      <c r="E29" s="23">
        <f>E28+D29</f>
        <v/>
      </c>
      <c r="F29" s="35">
        <f>IF(E29&lt;0,"NEGATIVE",IF(E29&lt;140000,"BELOW_FLOOR",IF(E29&lt;280000,"BELOW_TARGET","OK")))</f>
        <v/>
      </c>
    </row>
    <row r="30">
      <c r="A30" s="6" t="inlineStr">
        <is>
          <t>Sep 2027</t>
        </is>
      </c>
      <c r="B30" s="23" t="n">
        <v>40000</v>
      </c>
      <c r="C30" s="23" t="n">
        <v>0</v>
      </c>
      <c r="D30" s="23">
        <f>B30+C30</f>
        <v/>
      </c>
      <c r="E30" s="23">
        <f>E29+D30</f>
        <v/>
      </c>
      <c r="F30" s="35">
        <f>IF(E30&lt;0,"NEGATIVE",IF(E30&lt;140000,"BELOW_FLOOR",IF(E30&lt;280000,"BELOW_TARGET","OK")))</f>
        <v/>
      </c>
    </row>
    <row r="31">
      <c r="A31" s="6" t="inlineStr">
        <is>
          <t>Oct 2027</t>
        </is>
      </c>
      <c r="B31" s="23" t="n">
        <v>40000</v>
      </c>
      <c r="C31" s="23" t="n">
        <v>0</v>
      </c>
      <c r="D31" s="23">
        <f>B31+C31</f>
        <v/>
      </c>
      <c r="E31" s="23">
        <f>E30+D31</f>
        <v/>
      </c>
      <c r="F31" s="35">
        <f>IF(E31&lt;0,"NEGATIVE",IF(E31&lt;140000,"BELOW_FLOOR",IF(E31&lt;280000,"BELOW_TARGET","OK")))</f>
        <v/>
      </c>
    </row>
    <row r="32">
      <c r="A32" s="6" t="inlineStr">
        <is>
          <t>Nov 2027</t>
        </is>
      </c>
      <c r="B32" s="23" t="n">
        <v>40000</v>
      </c>
      <c r="C32" s="23" t="n">
        <v>0</v>
      </c>
      <c r="D32" s="23">
        <f>B32+C32</f>
        <v/>
      </c>
      <c r="E32" s="23">
        <f>E31+D32</f>
        <v/>
      </c>
      <c r="F32" s="35">
        <f>IF(E32&lt;0,"NEGATIVE",IF(E32&lt;140000,"BELOW_FLOOR",IF(E32&lt;280000,"BELOW_TARGET","OK")))</f>
        <v/>
      </c>
    </row>
    <row r="33">
      <c r="A33" s="6" t="inlineStr">
        <is>
          <t>Dec 2027</t>
        </is>
      </c>
      <c r="B33" s="23" t="n">
        <v>40000</v>
      </c>
      <c r="C33" s="23" t="n">
        <v>0</v>
      </c>
      <c r="D33" s="23">
        <f>B33+C33</f>
        <v/>
      </c>
      <c r="E33" s="23">
        <f>E32+D33</f>
        <v/>
      </c>
      <c r="F33" s="35">
        <f>IF(E33&lt;0,"NEGATIVE",IF(E33&lt;140000,"BELOW_FLOOR",IF(E33&lt;280000,"BELOW_TARGET","OK")))</f>
        <v/>
      </c>
    </row>
    <row r="34">
      <c r="A34" s="6" t="inlineStr">
        <is>
          <t>Jan 2028</t>
        </is>
      </c>
      <c r="B34" s="23" t="n">
        <v>40000</v>
      </c>
      <c r="C34" s="23" t="n">
        <v>0</v>
      </c>
      <c r="D34" s="23">
        <f>B34+C34</f>
        <v/>
      </c>
      <c r="E34" s="23">
        <f>E33+D34</f>
        <v/>
      </c>
      <c r="F34" s="35">
        <f>IF(E34&lt;0,"NEGATIVE",IF(E34&lt;140000,"BELOW_FLOOR",IF(E34&lt;280000,"BELOW_TARGET","OK")))</f>
        <v/>
      </c>
    </row>
    <row r="35">
      <c r="A35" s="6" t="inlineStr">
        <is>
          <t>Feb 2028</t>
        </is>
      </c>
      <c r="B35" s="23" t="n">
        <v>40000</v>
      </c>
      <c r="C35" s="23" t="n">
        <v>0</v>
      </c>
      <c r="D35" s="23">
        <f>B35+C35</f>
        <v/>
      </c>
      <c r="E35" s="23">
        <f>E34+D35</f>
        <v/>
      </c>
      <c r="F35" s="35">
        <f>IF(E35&lt;0,"NEGATIVE",IF(E35&lt;140000,"BELOW_FLOOR",IF(E35&lt;280000,"BELOW_TARGET","OK")))</f>
        <v/>
      </c>
    </row>
    <row r="36">
      <c r="A36" s="6" t="inlineStr">
        <is>
          <t>Mar 2028</t>
        </is>
      </c>
      <c r="B36" s="23" t="n">
        <v>40000</v>
      </c>
      <c r="C36" s="23" t="n">
        <v>0</v>
      </c>
      <c r="D36" s="23">
        <f>B36+C36</f>
        <v/>
      </c>
      <c r="E36" s="23">
        <f>E35+D36</f>
        <v/>
      </c>
      <c r="F36" s="35">
        <f>IF(E36&lt;0,"NEGATIVE",IF(E36&lt;140000,"BELOW_FLOOR",IF(E36&lt;280000,"BELOW_TARGET","OK")))</f>
        <v/>
      </c>
    </row>
    <row r="37">
      <c r="A37" s="6" t="inlineStr">
        <is>
          <t>Apr 2028</t>
        </is>
      </c>
      <c r="B37" s="23" t="n">
        <v>40000</v>
      </c>
      <c r="C37" s="23" t="n">
        <v>0</v>
      </c>
      <c r="D37" s="23">
        <f>B37+C37</f>
        <v/>
      </c>
      <c r="E37" s="23">
        <f>E36+D37</f>
        <v/>
      </c>
      <c r="F37" s="35">
        <f>IF(E37&lt;0,"NEGATIVE",IF(E37&lt;140000,"BELOW_FLOOR",IF(E37&lt;280000,"BELOW_TARGET","OK")))</f>
        <v/>
      </c>
    </row>
    <row r="38">
      <c r="A38" s="6" t="inlineStr">
        <is>
          <t>May 2028</t>
        </is>
      </c>
      <c r="B38" s="23" t="n">
        <v>60000</v>
      </c>
      <c r="C38" s="23" t="n">
        <v>0</v>
      </c>
      <c r="D38" s="23">
        <f>B38+C38</f>
        <v/>
      </c>
      <c r="E38" s="23">
        <f>E37+D38</f>
        <v/>
      </c>
      <c r="F38" s="35">
        <f>IF(E38&lt;0,"NEGATIVE",IF(E38&lt;140000,"BELOW_FLOOR",IF(E38&lt;280000,"BELOW_TARGET","OK")))</f>
        <v/>
      </c>
    </row>
    <row r="39">
      <c r="A39" s="6" t="inlineStr">
        <is>
          <t>Jun 2028</t>
        </is>
      </c>
      <c r="B39" s="23" t="n">
        <v>60000</v>
      </c>
      <c r="C39" s="23" t="n">
        <v>0</v>
      </c>
      <c r="D39" s="23">
        <f>B39+C39</f>
        <v/>
      </c>
      <c r="E39" s="23">
        <f>E38+D39</f>
        <v/>
      </c>
      <c r="F39" s="35">
        <f>IF(E39&lt;0,"NEGATIVE",IF(E39&lt;140000,"BELOW_FLOOR",IF(E39&lt;280000,"BELOW_TARGET","OK")))</f>
        <v/>
      </c>
    </row>
    <row r="40">
      <c r="A40" s="6" t="inlineStr">
        <is>
          <t>Jul 2028</t>
        </is>
      </c>
      <c r="B40" s="23" t="n">
        <v>60000</v>
      </c>
      <c r="C40" s="23" t="n">
        <v>0</v>
      </c>
      <c r="D40" s="23">
        <f>B40+C40</f>
        <v/>
      </c>
      <c r="E40" s="23">
        <f>E39+D40</f>
        <v/>
      </c>
      <c r="F40" s="35">
        <f>IF(E40&lt;0,"NEGATIVE",IF(E40&lt;140000,"BELOW_FLOOR",IF(E40&lt;280000,"BELOW_TARGET","OK")))</f>
        <v/>
      </c>
    </row>
    <row r="41">
      <c r="A41" s="6" t="inlineStr">
        <is>
          <t>Aug 2028</t>
        </is>
      </c>
      <c r="B41" s="23" t="n">
        <v>60000</v>
      </c>
      <c r="C41" s="23" t="n">
        <v>0</v>
      </c>
      <c r="D41" s="23">
        <f>B41+C41</f>
        <v/>
      </c>
      <c r="E41" s="23">
        <f>E40+D41</f>
        <v/>
      </c>
      <c r="F41" s="35">
        <f>IF(E41&lt;0,"NEGATIVE",IF(E41&lt;140000,"BELOW_FLOOR",IF(E41&lt;280000,"BELOW_TARGET","OK")))</f>
        <v/>
      </c>
    </row>
    <row r="42">
      <c r="A42" s="6" t="inlineStr">
        <is>
          <t>Sep 2028</t>
        </is>
      </c>
      <c r="B42" s="23" t="n">
        <v>60000</v>
      </c>
      <c r="C42" s="23" t="n">
        <v>0</v>
      </c>
      <c r="D42" s="23">
        <f>B42+C42</f>
        <v/>
      </c>
      <c r="E42" s="23">
        <f>E41+D42</f>
        <v/>
      </c>
      <c r="F42" s="35">
        <f>IF(E42&lt;0,"NEGATIVE",IF(E42&lt;140000,"BELOW_FLOOR",IF(E42&lt;280000,"BELOW_TARGET","OK")))</f>
        <v/>
      </c>
    </row>
    <row r="43">
      <c r="A43" s="6" t="inlineStr">
        <is>
          <t>Oct 2028</t>
        </is>
      </c>
      <c r="B43" s="23" t="n">
        <v>60000</v>
      </c>
      <c r="C43" s="23" t="n">
        <v>0</v>
      </c>
      <c r="D43" s="23">
        <f>B43+C43</f>
        <v/>
      </c>
      <c r="E43" s="23">
        <f>E42+D43</f>
        <v/>
      </c>
      <c r="F43" s="35">
        <f>IF(E43&lt;0,"NEGATIVE",IF(E43&lt;140000,"BELOW_FLOOR",IF(E43&lt;280000,"BELOW_TARGET","OK")))</f>
        <v/>
      </c>
    </row>
    <row r="44">
      <c r="A44" s="6" t="inlineStr">
        <is>
          <t>Nov 2028</t>
        </is>
      </c>
      <c r="B44" s="23" t="n">
        <v>60000</v>
      </c>
      <c r="C44" s="23" t="n">
        <v>0</v>
      </c>
      <c r="D44" s="23">
        <f>B44+C44</f>
        <v/>
      </c>
      <c r="E44" s="23">
        <f>E43+D44</f>
        <v/>
      </c>
      <c r="F44" s="35">
        <f>IF(E44&lt;0,"NEGATIVE",IF(E44&lt;140000,"BELOW_FLOOR",IF(E44&lt;280000,"BELOW_TARGET","OK")))</f>
        <v/>
      </c>
    </row>
    <row r="45">
      <c r="A45" s="6" t="inlineStr">
        <is>
          <t>Dec 2028</t>
        </is>
      </c>
      <c r="B45" s="23" t="n">
        <v>60000</v>
      </c>
      <c r="C45" s="23" t="n">
        <v>0</v>
      </c>
      <c r="D45" s="23">
        <f>B45+C45</f>
        <v/>
      </c>
      <c r="E45" s="23">
        <f>E44+D45</f>
        <v/>
      </c>
      <c r="F45" s="35">
        <f>IF(E45&lt;0,"NEGATIVE",IF(E45&lt;140000,"BELOW_FLOOR",IF(E45&lt;280000,"BELOW_TARGET","OK")))</f>
        <v/>
      </c>
    </row>
    <row r="46">
      <c r="A46" s="6" t="inlineStr">
        <is>
          <t>Jan 2029</t>
        </is>
      </c>
      <c r="B46" s="23" t="n">
        <v>60000</v>
      </c>
      <c r="C46" s="23" t="n">
        <v>0</v>
      </c>
      <c r="D46" s="23">
        <f>B46+C46</f>
        <v/>
      </c>
      <c r="E46" s="23">
        <f>E45+D46</f>
        <v/>
      </c>
      <c r="F46" s="35">
        <f>IF(E46&lt;0,"NEGATIVE",IF(E46&lt;140000,"BELOW_FLOOR",IF(E46&lt;280000,"BELOW_TARGET","OK")))</f>
        <v/>
      </c>
    </row>
    <row r="47">
      <c r="A47" s="6" t="inlineStr">
        <is>
          <t>Feb 2029</t>
        </is>
      </c>
      <c r="B47" s="23" t="n">
        <v>60000</v>
      </c>
      <c r="C47" s="23" t="n">
        <v>0</v>
      </c>
      <c r="D47" s="23">
        <f>B47+C47</f>
        <v/>
      </c>
      <c r="E47" s="23">
        <f>E46+D47</f>
        <v/>
      </c>
      <c r="F47" s="35">
        <f>IF(E47&lt;0,"NEGATIVE",IF(E47&lt;140000,"BELOW_FLOOR",IF(E47&lt;280000,"BELOW_TARGET","OK")))</f>
        <v/>
      </c>
    </row>
    <row r="48">
      <c r="A48" s="6" t="inlineStr">
        <is>
          <t>Mar 2029</t>
        </is>
      </c>
      <c r="B48" s="23" t="n">
        <v>60000</v>
      </c>
      <c r="C48" s="23" t="n">
        <v>0</v>
      </c>
      <c r="D48" s="23">
        <f>B48+C48</f>
        <v/>
      </c>
      <c r="E48" s="23">
        <f>E47+D48</f>
        <v/>
      </c>
      <c r="F48" s="35">
        <f>IF(E48&lt;0,"NEGATIVE",IF(E48&lt;140000,"BELOW_FLOOR",IF(E48&lt;280000,"BELOW_TARGET","OK")))</f>
        <v/>
      </c>
    </row>
    <row r="49">
      <c r="A49" s="6" t="inlineStr">
        <is>
          <t>Apr 2029</t>
        </is>
      </c>
      <c r="B49" s="23" t="n">
        <v>60000</v>
      </c>
      <c r="C49" s="23" t="n">
        <v>0</v>
      </c>
      <c r="D49" s="23">
        <f>B49+C49</f>
        <v/>
      </c>
      <c r="E49" s="23">
        <f>E48+D49</f>
        <v/>
      </c>
      <c r="F49" s="35">
        <f>IF(E49&lt;0,"NEGATIVE",IF(E49&lt;140000,"BELOW_FLOOR",IF(E49&lt;280000,"BELOW_TARGET","OK")))</f>
        <v/>
      </c>
    </row>
    <row r="51">
      <c r="A51" s="31" t="inlineStr">
        <is>
          <t>OPENING-CASH SENSITIVITY (illustrates how the dial moves the trough)</t>
        </is>
      </c>
      <c r="B51" s="32" t="n"/>
      <c r="C51" s="32" t="n"/>
      <c r="D51" s="32" t="n"/>
      <c r="E51" s="32" t="n"/>
      <c r="F51" s="32" t="n"/>
      <c r="G51" s="32" t="n"/>
    </row>
    <row r="52">
      <c r="A52" s="5" t="inlineStr">
        <is>
          <t>Opening cash</t>
        </is>
      </c>
      <c r="B52" s="5" t="inlineStr">
        <is>
          <t>Trough cash</t>
        </is>
      </c>
      <c r="C52" s="5" t="inlineStr">
        <is>
          <t>Trough month</t>
        </is>
      </c>
      <c r="D52" s="5" t="inlineStr">
        <is>
          <t>Read</t>
        </is>
      </c>
    </row>
    <row r="53">
      <c r="A53" s="23" t="n">
        <v>30000</v>
      </c>
      <c r="B53" s="6" t="inlineStr">
        <is>
          <t>−$171K (downside basis)</t>
        </is>
      </c>
      <c r="C53" s="6" t="inlineStr">
        <is>
          <t>Nov 2026</t>
        </is>
      </c>
      <c r="D53" s="35" t="inlineStr">
        <is>
          <t>Tight — needs earlier capital</t>
        </is>
      </c>
    </row>
    <row r="54">
      <c r="A54" s="23" t="n">
        <v>50000</v>
      </c>
      <c r="B54" s="6" t="inlineStr">
        <is>
          <t>−$94K (base)</t>
        </is>
      </c>
      <c r="C54" s="6" t="inlineStr">
        <is>
          <t>Aug 2026</t>
        </is>
      </c>
      <c r="D54" s="35" t="inlineStr">
        <is>
          <t>Bridged by Sep QBE + Nov SEFA</t>
        </is>
      </c>
    </row>
    <row r="55">
      <c r="A55" s="23" t="n">
        <v>100000</v>
      </c>
      <c r="B55" s="6" t="inlineStr">
        <is>
          <t>−$15K (upside)</t>
        </is>
      </c>
      <c r="C55" s="6" t="inlineStr">
        <is>
          <t>Aug 2026</t>
        </is>
      </c>
      <c r="D55" s="35" t="inlineStr">
        <is>
          <t>Comfortable bridge</t>
        </is>
      </c>
    </row>
  </sheetData>
  <mergeCells count="1"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Scenarios — Base / Upside / Downside + investment block</t>
        </is>
      </c>
    </row>
    <row r="2">
      <c r="A2" s="2" t="inlineStr">
        <is>
          <t>MODELLED (Day 9). The cash trough appears in all three — depth varies with opening carve-out + capital timing. Investment block (bottom) is the simple lever set Matt extends: deploy N factories + hire team → effect on cost/capex/cash.</t>
        </is>
      </c>
    </row>
    <row r="4">
      <c r="A4" s="3" t="inlineStr">
        <is>
          <t>BASE / UPSIDE / DOWNSIDE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Metric</t>
        </is>
      </c>
      <c r="B5" s="5" t="inlineStr">
        <is>
          <t>Downside</t>
        </is>
      </c>
      <c r="C5" s="5" t="inlineStr">
        <is>
          <t>Base</t>
        </is>
      </c>
      <c r="D5" s="5" t="inlineStr">
        <is>
          <t>Upside</t>
        </is>
      </c>
      <c r="E5" s="5" t="inlineStr">
        <is>
          <t>Status</t>
        </is>
      </c>
    </row>
    <row r="6">
      <c r="A6" s="6" t="inlineStr">
        <is>
          <t>Opening cash (ACT-accounts carve-out)</t>
        </is>
      </c>
      <c r="B6" s="23" t="n">
        <v>30000</v>
      </c>
      <c r="C6" s="23" t="n">
        <v>50000</v>
      </c>
      <c r="D6" s="23" t="n">
        <v>100000</v>
      </c>
      <c r="E6" s="35" t="inlineStr">
        <is>
          <t>MODELLED</t>
        </is>
      </c>
    </row>
    <row r="7">
      <c r="A7" s="6" t="inlineStr">
        <is>
          <t>Cash first negative</t>
        </is>
      </c>
      <c r="B7" s="6" t="inlineStr">
        <is>
          <t>May 2026</t>
        </is>
      </c>
      <c r="C7" s="6" t="inlineStr">
        <is>
          <t>Jun 2026</t>
        </is>
      </c>
      <c r="D7" s="6" t="inlineStr">
        <is>
          <t>Aug 2026</t>
        </is>
      </c>
      <c r="E7" s="35" t="inlineStr">
        <is>
          <t>MODELLED</t>
        </is>
      </c>
    </row>
    <row r="8">
      <c r="A8" s="6" t="inlineStr">
        <is>
          <t>Trough (worst cash)</t>
        </is>
      </c>
      <c r="B8" s="23" t="n">
        <v>-171000</v>
      </c>
      <c r="C8" s="23" t="n">
        <v>-94000</v>
      </c>
      <c r="D8" s="23" t="n">
        <v>-15000</v>
      </c>
      <c r="E8" s="35" t="inlineStr">
        <is>
          <t>MODELLED</t>
        </is>
      </c>
    </row>
    <row r="9">
      <c r="A9" s="6" t="inlineStr">
        <is>
          <t>Trough month</t>
        </is>
      </c>
      <c r="B9" s="6" t="inlineStr">
        <is>
          <t>Nov 2026</t>
        </is>
      </c>
      <c r="C9" s="6" t="inlineStr">
        <is>
          <t>Aug 2026</t>
        </is>
      </c>
      <c r="D9" s="6" t="inlineStr">
        <is>
          <t>Aug 2026</t>
        </is>
      </c>
      <c r="E9" s="35" t="inlineStr">
        <is>
          <t>MODELLED</t>
        </is>
      </c>
    </row>
    <row r="10">
      <c r="A10" s="6" t="inlineStr">
        <is>
          <t>Capital injections total</t>
        </is>
      </c>
      <c r="B10" s="23" t="n">
        <v>650000</v>
      </c>
      <c r="C10" s="23" t="n">
        <v>1200000</v>
      </c>
      <c r="D10" s="23" t="n">
        <v>3540000</v>
      </c>
      <c r="E10" s="35" t="inlineStr">
        <is>
          <t>MODELLED</t>
        </is>
      </c>
    </row>
    <row r="11">
      <c r="A11" s="6" t="inlineStr">
        <is>
          <t>Year 1 (FY27) revenue</t>
        </is>
      </c>
      <c r="B11" s="23" t="n">
        <v>690000</v>
      </c>
      <c r="C11" s="23" t="n">
        <v>1130000</v>
      </c>
      <c r="D11" s="23" t="n">
        <v>1580000</v>
      </c>
      <c r="E11" s="35" t="inlineStr">
        <is>
          <t>MODELLED</t>
        </is>
      </c>
    </row>
    <row r="12">
      <c r="A12" s="6" t="inlineStr">
        <is>
          <t>Year 1 close cash</t>
        </is>
      </c>
      <c r="B12" s="23" t="n">
        <v>0</v>
      </c>
      <c r="C12" s="23" t="n">
        <v>992000</v>
      </c>
      <c r="D12" s="23" t="n">
        <v>2200000</v>
      </c>
      <c r="E12" s="35" t="inlineStr">
        <is>
          <t>MODELLED</t>
        </is>
      </c>
    </row>
    <row r="13">
      <c r="A13" s="6" t="inlineStr">
        <is>
          <t>Year 3 close cash (36mo)</t>
        </is>
      </c>
      <c r="B13" s="23" t="n">
        <v>867000</v>
      </c>
      <c r="C13" s="23" t="n">
        <v>3327100</v>
      </c>
      <c r="D13" s="23" t="n">
        <v>7960000</v>
      </c>
      <c r="E13" s="35" t="inlineStr">
        <is>
          <t>MODELLED</t>
        </is>
      </c>
    </row>
    <row r="14">
      <c r="A14" s="6" t="inlineStr">
        <is>
          <t>Probability of scenario</t>
        </is>
      </c>
      <c r="B14" s="27" t="n">
        <v>0.3</v>
      </c>
      <c r="C14" s="27" t="n">
        <v>0.3</v>
      </c>
      <c r="D14" s="27" t="n">
        <v>0.125</v>
      </c>
      <c r="E14" s="35" t="inlineStr">
        <is>
          <t>MODELLED</t>
        </is>
      </c>
    </row>
    <row r="16">
      <c r="A16" s="31" t="inlineStr">
        <is>
          <t>INVESTMENT-SCENARIO BLOCK (for Matt to extend — driven off Control Panel dials)</t>
        </is>
      </c>
      <c r="B16" s="32" t="n"/>
      <c r="C16" s="32" t="n"/>
      <c r="D16" s="32" t="n"/>
      <c r="E16" s="32" t="n"/>
      <c r="F16" s="32" t="n"/>
      <c r="G16" s="32" t="n"/>
    </row>
    <row r="17">
      <c r="A17" s="5" t="inlineStr">
        <is>
          <t>Lever</t>
        </is>
      </c>
      <c r="B17" s="5" t="inlineStr">
        <is>
          <t>Value</t>
        </is>
      </c>
      <c r="C17" s="5" t="inlineStr">
        <is>
          <t>Effect</t>
        </is>
      </c>
      <c r="D17" s="5" t="inlineStr"/>
    </row>
    <row r="18">
      <c r="A18" s="6" t="inlineStr">
        <is>
          <t>Containerised factories deployed (Control Panel dial)</t>
        </is>
      </c>
      <c r="B18" s="16">
        <f>'Control Panel'!$B$8</f>
        <v/>
      </c>
      <c r="C18" s="8" t="inlineStr">
        <is>
          <t>Each unlocks in-house legs (method 3/4)</t>
        </is>
      </c>
    </row>
    <row r="19">
      <c r="A19" s="6" t="inlineStr">
        <is>
          <t>Capex deployed (factories x net-low)</t>
        </is>
      </c>
      <c r="B19" s="23">
        <f>'Control Panel'!$B$8*'Unit Cost'!$B$45</f>
        <v/>
      </c>
      <c r="C19" s="8" t="inlineStr">
        <is>
          <t>Cash out / balance sheet capex</t>
        </is>
      </c>
    </row>
    <row r="20">
      <c r="A20" s="6" t="inlineStr">
        <is>
          <t>Per-bed cost reduction (kit → factory legs)</t>
        </is>
      </c>
      <c r="B20" s="17">
        <f>'Unit Cost'!$B$25-'Unit Cost'!$B$27</f>
        <v/>
      </c>
      <c r="C20" s="8" t="inlineStr">
        <is>
          <t>~$194/bed leg saving</t>
        </is>
      </c>
    </row>
    <row r="21">
      <c r="A21" s="6" t="inlineStr">
        <is>
          <t>Annual cost saving at selected volume</t>
        </is>
      </c>
      <c r="B21" s="23">
        <f>'Control Panel'!$B$6*('Unit Cost'!$B$25-'Unit Cost'!$B$27)</f>
        <v/>
      </c>
      <c r="C21" s="8" t="inlineStr">
        <is>
          <t>Volume x per-bed saving</t>
        </is>
      </c>
    </row>
    <row r="22">
      <c r="A22" s="6" t="inlineStr">
        <is>
          <t>Future hires toggled-on cost</t>
        </is>
      </c>
      <c r="B22" s="23">
        <f>'Wages &amp; People'!$E$17</f>
        <v/>
      </c>
      <c r="C22" s="8" t="inlineStr">
        <is>
          <t>GM/BD capacity (Wages tab toggles)</t>
        </is>
      </c>
    </row>
    <row r="23">
      <c r="A23" s="6" t="inlineStr">
        <is>
          <t>Selected marginal cost (method dial)</t>
        </is>
      </c>
      <c r="B23" s="17">
        <f>CHOOSE('Control Panel'!$B$7,'Unit Cost'!$F$25,'Unit Cost'!$F$26,'Unit Cost'!$F$27,'Unit Cost'!$F$28)</f>
        <v/>
      </c>
      <c r="C23" s="8" t="inlineStr">
        <is>
          <t>Feeds COGS</t>
        </is>
      </c>
    </row>
  </sheetData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46" customWidth="1" min="4" max="4"/>
  </cols>
  <sheetData>
    <row r="1">
      <c r="A1" s="1" t="inlineStr">
        <is>
          <t>Use of Funds — capital ask allocation</t>
        </is>
      </c>
    </row>
    <row r="2">
      <c r="A2" s="2" t="inlineStr">
        <is>
          <t>Maps the QBE / capital ask to deployment. QBE is match-contingent: Goods must raise ~$400K to unlock the $400K match. Figures MODELLED; edit the Amount column to re-allocate.</t>
        </is>
      </c>
    </row>
    <row r="4">
      <c r="A4" s="3" t="inlineStr">
        <is>
          <t>ALLOCATION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Use</t>
        </is>
      </c>
      <c r="B5" s="5" t="inlineStr">
        <is>
          <t>Amount</t>
        </is>
      </c>
      <c r="C5" s="5" t="inlineStr">
        <is>
          <t>% of ask</t>
        </is>
      </c>
      <c r="D5" s="5" t="inlineStr">
        <is>
          <t>Note</t>
        </is>
      </c>
    </row>
    <row r="6">
      <c r="A6" s="6" t="inlineStr">
        <is>
          <t>Inventory &amp; materials (standing stock)</t>
        </is>
      </c>
      <c r="B6" s="36" t="n">
        <v>250000</v>
      </c>
      <c r="C6" s="27">
        <f>B6/$B$12</f>
        <v/>
      </c>
      <c r="D6" s="8" t="inlineStr">
        <is>
          <t>Bulk HDPE/steel/canvas + finished-bed buffer for B2C</t>
        </is>
      </c>
    </row>
    <row r="7">
      <c r="A7" s="6" t="inlineStr">
        <is>
          <t>Containerised plant deployment (capex)</t>
        </is>
      </c>
      <c r="B7" s="36" t="n">
        <v>200000</v>
      </c>
      <c r="C7" s="27">
        <f>B7/$B$12</f>
        <v/>
      </c>
      <c r="D7" s="8" t="inlineStr">
        <is>
          <t>1-2 containerised factories; net of $110K already invested</t>
        </is>
      </c>
    </row>
    <row r="8">
      <c r="A8" s="6" t="inlineStr">
        <is>
          <t>Working capital</t>
        </is>
      </c>
      <c r="B8" s="36" t="n">
        <v>150000</v>
      </c>
      <c r="C8" s="27">
        <f>B8/$B$12</f>
        <v/>
      </c>
      <c r="D8" s="8" t="inlineStr">
        <is>
          <t>Bridge the structural May→Sep cash trough</t>
        </is>
      </c>
    </row>
    <row r="9">
      <c r="A9" s="6" t="inlineStr">
        <is>
          <t>GM / BD / finance capacity</t>
        </is>
      </c>
      <c r="B9" s="36" t="n">
        <v>200000</v>
      </c>
      <c r="C9" s="27">
        <f>B9/$B$12</f>
        <v/>
      </c>
      <c r="D9" s="8" t="inlineStr">
        <is>
          <t>GM/Head of Manufacturing + 1-2 Sales/BD hires (Wages toggles)</t>
        </is>
      </c>
    </row>
    <row r="10">
      <c r="A10" s="6" t="inlineStr">
        <is>
          <t>Impact &amp; reporting (MEL)</t>
        </is>
      </c>
      <c r="B10" s="36" t="n">
        <v>80000</v>
      </c>
      <c r="C10" s="27">
        <f>B10/$B$12</f>
        <v/>
      </c>
      <c r="D10" s="8" t="inlineStr">
        <is>
          <t>SIH V4 + QBE inclusion/climate MEL framework</t>
        </is>
      </c>
    </row>
    <row r="11">
      <c r="A11" s="6" t="inlineStr">
        <is>
          <t>Contingency</t>
        </is>
      </c>
      <c r="B11" s="36" t="n">
        <v>120000</v>
      </c>
      <c r="C11" s="27">
        <f>B11/$B$12</f>
        <v/>
      </c>
      <c r="D11" s="8" t="inlineStr">
        <is>
          <t>~12% buffer on the raise</t>
        </is>
      </c>
    </row>
    <row r="12">
      <c r="A12" s="18" t="inlineStr">
        <is>
          <t>TOTAL capital ask</t>
        </is>
      </c>
      <c r="B12" s="14">
        <f>SUM(B6:B11)</f>
        <v/>
      </c>
      <c r="C12" s="27">
        <f>SUM(C6:C11)</f>
        <v/>
      </c>
    </row>
    <row r="14">
      <c r="A14" s="2" t="inlineStr">
        <is>
          <t>QBE match logic: the $400K match is an OUTPUT of raising ~$400K first (SEFA + anchor philanthropy). Capex line reconciles to the v6 net capital ask ($90K-$200K after $110K invested).</t>
        </is>
      </c>
    </row>
  </sheetData>
  <mergeCells count="2">
    <mergeCell ref="A14:G14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50" customWidth="1" min="4" max="4"/>
  </cols>
  <sheetData>
    <row r="1">
      <c r="A1" s="1" t="inlineStr">
        <is>
          <t>Assumptions &amp; Provenance</t>
        </is>
      </c>
    </row>
    <row r="2">
      <c r="A2" s="2" t="inlineStr">
        <is>
          <t>Goods-only financial model, best-available data 2026-05-29. Verified figures from the live Xero mirror; founder time, scale and scenarios are modelled. Built for QBE advisory (Matt) + investor review. Entity: A Curious Tractor Pty Ltd (ABN 36 697 347 676) t/a Goods on Country; DGR pathway via The Butterfly Movement Ltd.</t>
        </is>
      </c>
    </row>
    <row r="4">
      <c r="A4" s="3" t="inlineStr">
        <is>
          <t>PROVENANCE KEY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Label</t>
        </is>
      </c>
      <c r="B5" s="5" t="inlineStr">
        <is>
          <t>Meaning</t>
        </is>
      </c>
      <c r="C5" s="5" t="inlineStr"/>
      <c r="D5" s="5" t="inlineStr"/>
    </row>
    <row r="6">
      <c r="A6" s="24" t="inlineStr">
        <is>
          <t>VERIFIED</t>
        </is>
      </c>
      <c r="B6" s="8" t="inlineStr">
        <is>
          <t>Queried directly from a named source (live Xero mirror rows, supplier invoices, shop price).</t>
        </is>
      </c>
      <c r="C6" s="37" t="n"/>
      <c r="D6" s="38" t="n"/>
    </row>
    <row r="7">
      <c r="A7" s="24" t="inlineStr">
        <is>
          <t>MODELLED</t>
        </is>
      </c>
      <c r="B7" s="8" t="inlineStr">
        <is>
          <t>Forecast or assumption (founder-time scenarios, 36-mo cashflow, unit cost at scale, capital timing).</t>
        </is>
      </c>
      <c r="C7" s="37" t="n"/>
      <c r="D7" s="38" t="n"/>
    </row>
    <row r="8">
      <c r="A8" s="24" t="inlineStr">
        <is>
          <t>TARGET</t>
        </is>
      </c>
      <c r="B8" s="8" t="inlineStr">
        <is>
          <t>Future operating intent (factory cost, containerised plant).</t>
        </is>
      </c>
      <c r="C8" s="37" t="n"/>
      <c r="D8" s="38" t="n"/>
    </row>
    <row r="9">
      <c r="A9" s="24" t="inlineStr">
        <is>
          <t>TO CONFIRM</t>
        </is>
      </c>
      <c r="B9" s="8" t="inlineStr">
        <is>
          <t>Gap — row scaffolded, value NOT fabricated. Must close before the model is 'closed'.</t>
        </is>
      </c>
      <c r="C9" s="37" t="n"/>
      <c r="D9" s="38" t="n"/>
    </row>
    <row r="11">
      <c r="A11" s="3" t="inlineStr">
        <is>
          <t>EVERY INPUT — value, source, confidence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Input</t>
        </is>
      </c>
      <c r="B12" s="5" t="inlineStr">
        <is>
          <t>Value</t>
        </is>
      </c>
      <c r="C12" s="5" t="inlineStr">
        <is>
          <t>Confidence</t>
        </is>
      </c>
      <c r="D12" s="5" t="inlineStr">
        <is>
          <t>Source</t>
        </is>
      </c>
    </row>
    <row r="13">
      <c r="A13" s="35" t="inlineStr">
        <is>
          <t>Volume (default)</t>
        </is>
      </c>
      <c r="B13" s="35" t="inlineStr">
        <is>
          <t>500 beds/yr</t>
        </is>
      </c>
      <c r="C13" s="39" t="inlineStr">
        <is>
          <t>MODELLED</t>
        </is>
      </c>
      <c r="D13" s="8" t="inlineStr">
        <is>
          <t>planning default; dial</t>
        </is>
      </c>
    </row>
    <row r="14">
      <c r="A14" s="35" t="inlineStr">
        <is>
          <t>Manufacturing method (default)</t>
        </is>
      </c>
      <c r="B14" s="35" t="inlineStr">
        <is>
          <t>1 = Buy-Kit</t>
        </is>
      </c>
      <c r="C14" s="39" t="inlineStr">
        <is>
          <t>MODELLED</t>
        </is>
      </c>
      <c r="D14" s="8" t="inlineStr">
        <is>
          <t>today's path, no capex</t>
        </is>
      </c>
    </row>
    <row r="15">
      <c r="A15" s="35" t="inlineStr">
        <is>
          <t># containerised factories (default)</t>
        </is>
      </c>
      <c r="B15" s="35" t="inlineStr">
        <is>
          <t>0</t>
        </is>
      </c>
      <c r="C15" s="39" t="inlineStr">
        <is>
          <t>MODELLED / TARGET</t>
        </is>
      </c>
      <c r="D15" s="8" t="inlineStr">
        <is>
          <t>dial; capex band $112K-$222K</t>
        </is>
      </c>
    </row>
    <row r="16">
      <c r="A16" s="35" t="inlineStr">
        <is>
          <t>Founder day-rate</t>
        </is>
      </c>
      <c r="B16" s="35" t="inlineStr">
        <is>
          <t>$560/day</t>
        </is>
      </c>
      <c r="C16" s="39" t="inlineStr">
        <is>
          <t>LOCKED (verified basis)</t>
        </is>
      </c>
      <c r="D16" s="8" t="inlineStr">
        <is>
          <t>Ben 2026-05-29; $140K/yr at 250 days</t>
        </is>
      </c>
    </row>
    <row r="17">
      <c r="A17" s="35" t="inlineStr">
        <is>
          <t>Founder days/yr</t>
        </is>
      </c>
      <c r="B17" s="35" t="inlineStr">
        <is>
          <t>150</t>
        </is>
      </c>
      <c r="C17" s="39" t="inlineStr">
        <is>
          <t>LOCKED</t>
        </is>
      </c>
      <c r="D17" s="8" t="inlineStr">
        <is>
          <t>Ben 2026-05-29; 30/50/25/45 split</t>
        </is>
      </c>
    </row>
    <row r="18">
      <c r="A18" s="35" t="inlineStr">
        <is>
          <t>Founder production-days/yr</t>
        </is>
      </c>
      <c r="B18" s="35" t="inlineStr">
        <is>
          <t>30</t>
        </is>
      </c>
      <c r="C18" s="39" t="inlineStr">
        <is>
          <t>LOCKED</t>
        </is>
      </c>
      <c r="D18" s="8" t="inlineStr">
        <is>
          <t>Ben 2026-05-29; only these touch unit cost</t>
        </is>
      </c>
    </row>
    <row r="19">
      <c r="A19" s="35" t="inlineStr">
        <is>
          <t>Opening cash @ 1 May 2026</t>
        </is>
      </c>
      <c r="B19" s="35" t="inlineStr">
        <is>
          <t>$50,000</t>
        </is>
      </c>
      <c r="C19" s="40" t="inlineStr">
        <is>
          <t>WORKING</t>
        </is>
      </c>
      <c r="D19" s="8" t="inlineStr">
        <is>
          <t>pending ACT-accounts carve-out</t>
        </is>
      </c>
    </row>
    <row r="20">
      <c r="A20" s="35" t="inlineStr">
        <is>
          <t>Retail/institutional price</t>
        </is>
      </c>
      <c r="B20" s="35" t="inlineStr">
        <is>
          <t>$750</t>
        </is>
      </c>
      <c r="C20" s="39" t="inlineStr">
        <is>
          <t>VERIFIED</t>
        </is>
      </c>
      <c r="D20" s="8" t="inlineStr">
        <is>
          <t>shop stretch-bed-single</t>
        </is>
      </c>
    </row>
    <row r="21">
      <c r="A21" s="35" t="inlineStr">
        <is>
          <t>Long-haul freight/bed</t>
        </is>
      </c>
      <c r="B21" s="35" t="inlineStr">
        <is>
          <t>$150</t>
        </is>
      </c>
      <c r="C21" s="39" t="inlineStr">
        <is>
          <t>MODELLED</t>
        </is>
      </c>
      <c r="D21" s="8" t="inlineStr">
        <is>
          <t>variable; corrected from overhead (v6)</t>
        </is>
      </c>
    </row>
    <row r="22">
      <c r="A22" s="35" t="inlineStr">
        <is>
          <t>HDPE kit (Defy)</t>
        </is>
      </c>
      <c r="B22" s="35" t="inlineStr">
        <is>
          <t>$344.05/bed</t>
        </is>
      </c>
      <c r="C22" s="39" t="inlineStr">
        <is>
          <t>VERIFIED</t>
        </is>
      </c>
      <c r="D22" s="8" t="inlineStr">
        <is>
          <t>Defy INV-1602 + INV-1732</t>
        </is>
      </c>
    </row>
    <row r="23">
      <c r="A23" s="35" t="inlineStr">
        <is>
          <t>Steel poles</t>
        </is>
      </c>
      <c r="B23" s="35" t="inlineStr">
        <is>
          <t>$27.00/bed</t>
        </is>
      </c>
      <c r="C23" s="39" t="inlineStr">
        <is>
          <t>VERIFIED</t>
        </is>
      </c>
      <c r="D23" s="8" t="inlineStr">
        <is>
          <t>DNA Steel Notion BOM</t>
        </is>
      </c>
    </row>
    <row r="24">
      <c r="A24" s="35" t="inlineStr">
        <is>
          <t>Canvas</t>
        </is>
      </c>
      <c r="B24" s="35" t="inlineStr">
        <is>
          <t>$93.50/bed</t>
        </is>
      </c>
      <c r="C24" s="39" t="inlineStr">
        <is>
          <t>VERIFIED</t>
        </is>
      </c>
      <c r="D24" s="8" t="inlineStr">
        <is>
          <t>Centre Canvas 3 invoices, 270 covers</t>
        </is>
      </c>
    </row>
    <row r="25">
      <c r="A25" s="35" t="inlineStr">
        <is>
          <t>Hardware (caps+screws+bolts)</t>
        </is>
      </c>
      <c r="B25" s="35" t="inlineStr">
        <is>
          <t>$5.24/bed</t>
        </is>
      </c>
      <c r="C25" s="39" t="inlineStr">
        <is>
          <t>VERIFIED / inferred</t>
        </is>
      </c>
      <c r="D25" s="8" t="inlineStr">
        <is>
          <t>Coastal Fasteners; bolts estimated</t>
        </is>
      </c>
    </row>
    <row r="26">
      <c r="A26" s="35" t="inlineStr">
        <is>
          <t>Defy-kit direct materials</t>
        </is>
      </c>
      <c r="B26" s="35" t="inlineStr">
        <is>
          <t>$469.79/bed</t>
        </is>
      </c>
      <c r="C26" s="39" t="inlineStr">
        <is>
          <t>VERIFIED</t>
        </is>
      </c>
      <c r="D26" s="8" t="inlineStr">
        <is>
          <t>sum of BOM</t>
        </is>
      </c>
    </row>
    <row r="27">
      <c r="A27" s="35" t="inlineStr">
        <is>
          <t>Buy-Kit marginal (with assembly+freight)</t>
        </is>
      </c>
      <c r="B27" s="35" t="inlineStr">
        <is>
          <t>$684.79/bed</t>
        </is>
      </c>
      <c r="C27" s="39" t="inlineStr">
        <is>
          <t>MODELLED</t>
        </is>
      </c>
      <c r="D27" s="8" t="inlineStr">
        <is>
          <t>v6 honest_marginal_cost</t>
        </is>
      </c>
    </row>
    <row r="28">
      <c r="A28" s="35" t="inlineStr">
        <is>
          <t>Factory direct</t>
        </is>
      </c>
      <c r="B28" s="35" t="inlineStr">
        <is>
          <t>$275.74/bed</t>
        </is>
      </c>
      <c r="C28" s="39" t="inlineStr">
        <is>
          <t>MODELLED</t>
        </is>
      </c>
      <c r="D28" s="8" t="inlineStr">
        <is>
          <t>in-house legs $150 + steel + canvas + hw</t>
        </is>
      </c>
    </row>
    <row r="29">
      <c r="A29" s="35" t="inlineStr">
        <is>
          <t>Factory marginal (with freight)</t>
        </is>
      </c>
      <c r="B29" s="35" t="inlineStr">
        <is>
          <t>$425.74/bed</t>
        </is>
      </c>
      <c r="C29" s="39" t="inlineStr">
        <is>
          <t>MODELLED</t>
        </is>
      </c>
      <c r="D29" s="8" t="inlineStr">
        <is>
          <t>v6 cost model</t>
        </is>
      </c>
    </row>
    <row r="30">
      <c r="A30" s="35" t="inlineStr">
        <is>
          <t>Community direct</t>
        </is>
      </c>
      <c r="B30" s="35" t="inlineStr">
        <is>
          <t>$140.74/bed</t>
        </is>
      </c>
      <c r="C30" s="39" t="inlineStr">
        <is>
          <t>FUTURE</t>
        </is>
      </c>
      <c r="D30" s="8" t="inlineStr">
        <is>
          <t>free feedstock + volunteer labour</t>
        </is>
      </c>
    </row>
    <row r="31">
      <c r="A31" s="35" t="inlineStr">
        <is>
          <t>Idiot index — HDPE kit</t>
        </is>
      </c>
      <c r="B31" s="35" t="inlineStr">
        <is>
          <t>8.6x</t>
        </is>
      </c>
      <c r="C31" s="39" t="inlineStr">
        <is>
          <t>VERIFIED</t>
        </is>
      </c>
      <c r="D31" s="8" t="inlineStr">
        <is>
          <t>$344.05 / $40 raw floor; biggest lever</t>
        </is>
      </c>
    </row>
    <row r="32">
      <c r="A32" s="35" t="inlineStr">
        <is>
          <t>Defy margin captured by in-sourcing</t>
        </is>
      </c>
      <c r="B32" s="35" t="inlineStr">
        <is>
          <t>~$289/bed</t>
        </is>
      </c>
      <c r="C32" s="39" t="inlineStr">
        <is>
          <t>MODELLED</t>
        </is>
      </c>
      <c r="D32" s="8" t="inlineStr">
        <is>
          <t>$344.05 − $55 raw shred</t>
        </is>
      </c>
    </row>
    <row r="33">
      <c r="A33" s="35" t="inlineStr">
        <is>
          <t>Capex per containerised factory</t>
        </is>
      </c>
      <c r="B33" s="35" t="inlineStr">
        <is>
          <t>$112K-$222K</t>
        </is>
      </c>
      <c r="C33" s="39" t="inlineStr">
        <is>
          <t>MODELLED</t>
        </is>
      </c>
      <c r="D33" s="8" t="inlineStr">
        <is>
          <t>shredder+press+CNC+tools (firm quotes pending)</t>
        </is>
      </c>
    </row>
    <row r="34">
      <c r="A34" s="35" t="inlineStr">
        <is>
          <t>Already invested (facility + tooling)</t>
        </is>
      </c>
      <c r="B34" s="35" t="inlineStr">
        <is>
          <t>$110,046</t>
        </is>
      </c>
      <c r="C34" s="39" t="inlineStr">
        <is>
          <t>VERIFIED</t>
        </is>
      </c>
      <c r="D34" s="8" t="inlineStr">
        <is>
          <t>inside the $323,106 cash spend</t>
        </is>
      </c>
    </row>
    <row r="35">
      <c r="A35" s="35" t="inlineStr">
        <is>
          <t>Net capital ask</t>
        </is>
      </c>
      <c r="B35" s="35" t="inlineStr">
        <is>
          <t>$90K-$200K</t>
        </is>
      </c>
      <c r="C35" s="39" t="inlineStr">
        <is>
          <t>MODELLED</t>
        </is>
      </c>
      <c r="D35" s="8" t="inlineStr">
        <is>
          <t>capex − already invested</t>
        </is>
      </c>
    </row>
    <row r="36">
      <c r="A36" s="35" t="inlineStr">
        <is>
          <t>Non-founder fixed block</t>
        </is>
      </c>
      <c r="B36" s="35" t="inlineStr">
        <is>
          <t>$92,700/yr</t>
        </is>
      </c>
      <c r="C36" s="39" t="inlineStr">
        <is>
          <t>MODELLED</t>
        </is>
      </c>
      <c r="D36" s="8" t="inlineStr">
        <is>
          <t>Kirmos $27K + admin $14.7K + field $51K</t>
        </is>
      </c>
    </row>
    <row r="37">
      <c r="A37" s="35" t="inlineStr">
        <is>
          <t>Founder production cost (fixed block)</t>
        </is>
      </c>
      <c r="B37" s="35" t="inlineStr">
        <is>
          <t>$16,800/yr</t>
        </is>
      </c>
      <c r="C37" s="39" t="inlineStr">
        <is>
          <t>LOCKED</t>
        </is>
      </c>
      <c r="D37" s="8" t="inlineStr">
        <is>
          <t>$560 x 30 days</t>
        </is>
      </c>
    </row>
    <row r="38">
      <c r="A38" s="35" t="inlineStr">
        <is>
          <t>Revenue billed</t>
        </is>
      </c>
      <c r="B38" s="35" t="inlineStr">
        <is>
          <t>$732,210.79</t>
        </is>
      </c>
      <c r="C38" s="39" t="inlineStr">
        <is>
          <t>VERIFIED</t>
        </is>
      </c>
      <c r="D38" s="8" t="inlineStr">
        <is>
          <t>live Xero mirror, ACCREC</t>
        </is>
      </c>
    </row>
    <row r="39">
      <c r="A39" s="35" t="inlineStr">
        <is>
          <t>Revenue received</t>
        </is>
      </c>
      <c r="B39" s="35" t="inlineStr">
        <is>
          <t>$649,710.79</t>
        </is>
      </c>
      <c r="C39" s="39" t="inlineStr">
        <is>
          <t>VERIFIED</t>
        </is>
      </c>
      <c r="D39" s="8" t="inlineStr">
        <is>
          <t>16 PAID invoices</t>
        </is>
      </c>
    </row>
    <row r="40">
      <c r="A40" s="35" t="inlineStr">
        <is>
          <t>Accounts receivable (Rotary)</t>
        </is>
      </c>
      <c r="B40" s="35" t="inlineStr">
        <is>
          <t>$82,500</t>
        </is>
      </c>
      <c r="C40" s="39" t="inlineStr">
        <is>
          <t>VERIFIED</t>
        </is>
      </c>
      <c r="D40" s="8" t="inlineStr">
        <is>
          <t>no matching RECEIVE txn</t>
        </is>
      </c>
    </row>
    <row r="41">
      <c r="A41" s="35" t="inlineStr">
        <is>
          <t>Accounts payable owed</t>
        </is>
      </c>
      <c r="B41" s="35" t="inlineStr">
        <is>
          <t>$0</t>
        </is>
      </c>
      <c r="C41" s="39" t="inlineStr">
        <is>
          <t>VERIFIED</t>
        </is>
      </c>
      <c r="D41" s="8" t="inlineStr">
        <is>
          <t>AUTHORISED bills = matching gap, not debt</t>
        </is>
      </c>
    </row>
    <row r="42">
      <c r="A42" s="35" t="inlineStr">
        <is>
          <t>Director loan</t>
        </is>
      </c>
      <c r="B42" s="35" t="inlineStr">
        <is>
          <t>$0</t>
        </is>
      </c>
      <c r="C42" s="39" t="inlineStr">
        <is>
          <t>VERIFIED</t>
        </is>
      </c>
      <c r="D42" s="8" t="inlineStr">
        <is>
          <t>$0 personal spend</t>
        </is>
      </c>
    </row>
    <row r="43">
      <c r="A43" s="35" t="inlineStr">
        <is>
          <t>Goods cash out (single basis)</t>
        </is>
      </c>
      <c r="B43" s="35" t="inlineStr">
        <is>
          <t>$309,126</t>
        </is>
      </c>
      <c r="C43" s="39" t="inlineStr">
        <is>
          <t>VERIFIED</t>
        </is>
      </c>
      <c r="D43" s="8" t="inlineStr">
        <is>
          <t>$323,106 spend − $13,980 washer reclass</t>
        </is>
      </c>
    </row>
    <row r="44">
      <c r="A44" s="35" t="inlineStr">
        <is>
          <t>Operating surplus before founder time</t>
        </is>
      </c>
      <c r="B44" s="35" t="inlineStr">
        <is>
          <t>$340,585</t>
        </is>
      </c>
      <c r="C44" s="39" t="inlineStr">
        <is>
          <t>VERIFIED basis</t>
        </is>
      </c>
      <c r="D44" s="8" t="inlineStr">
        <is>
          <t>received $649,711 − cash out $309,126</t>
        </is>
      </c>
    </row>
    <row r="45">
      <c r="A45" s="35" t="inlineStr">
        <is>
          <t>Operating surplus after founder time (period)</t>
        </is>
      </c>
      <c r="B45" s="35" t="inlineStr">
        <is>
          <t>~$151,585</t>
        </is>
      </c>
      <c r="C45" s="39" t="inlineStr">
        <is>
          <t>VERIFIED − MODELLED</t>
        </is>
      </c>
      <c r="D45" s="8" t="inlineStr">
        <is>
          <t>less $189,000 period founder time</t>
        </is>
      </c>
    </row>
    <row r="46">
      <c r="A46" s="35" t="inlineStr">
        <is>
          <t>GST net payable (rough)</t>
        </is>
      </c>
      <c r="B46" s="35" t="inlineStr">
        <is>
          <t>$29,657</t>
        </is>
      </c>
      <c r="C46" s="39" t="inlineStr">
        <is>
          <t>MODELLED</t>
        </is>
      </c>
      <c r="D46" s="8" t="inlineStr">
        <is>
          <t>output $62,019 − input $32,362; BAS TBC</t>
        </is>
      </c>
    </row>
    <row r="47">
      <c r="A47" s="35" t="inlineStr">
        <is>
          <t>R&amp;D Tax Incentive refund</t>
        </is>
      </c>
      <c r="B47" s="35" t="inlineStr">
        <is>
          <t>~$80,000/yr</t>
        </is>
      </c>
      <c r="C47" s="39" t="inlineStr">
        <is>
          <t>MODELLED</t>
        </is>
      </c>
      <c r="D47" s="8" t="inlineStr">
        <is>
          <t>eligibility structural; treatment TBC</t>
        </is>
      </c>
    </row>
    <row r="48">
      <c r="A48" s="35" t="inlineStr">
        <is>
          <t>SEFA working-capital loan</t>
        </is>
      </c>
      <c r="B48" s="35" t="inlineStr">
        <is>
          <t>$300,000</t>
        </is>
      </c>
      <c r="C48" s="39" t="inlineStr">
        <is>
          <t>MODELLED</t>
        </is>
      </c>
      <c r="D48" s="8" t="inlineStr">
        <is>
          <t>Day 8; ~4-6%, Nov 2026 target; not drawn</t>
        </is>
      </c>
    </row>
    <row r="49">
      <c r="A49" s="35" t="inlineStr">
        <is>
          <t>QBE match</t>
        </is>
      </c>
      <c r="B49" s="35" t="inlineStr">
        <is>
          <t>$400,000</t>
        </is>
      </c>
      <c r="C49" s="39" t="inlineStr">
        <is>
          <t>MODELLED</t>
        </is>
      </c>
      <c r="D49" s="8" t="inlineStr">
        <is>
          <t>match-contingent on raising ~$400K first</t>
        </is>
      </c>
    </row>
    <row r="50">
      <c r="A50" s="35" t="inlineStr">
        <is>
          <t>Cash trough (base, $50K opening)</t>
        </is>
      </c>
      <c r="B50" s="35" t="inlineStr">
        <is>
          <t>−$94,000</t>
        </is>
      </c>
      <c r="C50" s="39" t="inlineStr">
        <is>
          <t>MODELLED</t>
        </is>
      </c>
      <c r="D50" s="8" t="inlineStr">
        <is>
          <t>Aug 2026; Day 6/9</t>
        </is>
      </c>
    </row>
    <row r="52">
      <c r="A52" s="41" t="inlineStr">
        <is>
          <t>NON-NEGOTIABLE ALIGNMENT (do not reintroduce retracted framings)</t>
        </is>
      </c>
      <c r="B52" s="42" t="n"/>
      <c r="C52" s="42" t="n"/>
      <c r="D52" s="42" t="n"/>
      <c r="E52" s="42" t="n"/>
      <c r="F52" s="42" t="n"/>
      <c r="G52" s="42" t="n"/>
    </row>
    <row r="53">
      <c r="A53" s="22" t="inlineStr">
        <is>
          <t>•  AP ≈ $0 owed; NO director loan; NO 'overdue payables / working-capital squeeze'. The ~$124,878 AUTHORISED bills are a payment-matching gap.</t>
        </is>
      </c>
    </row>
    <row r="54">
      <c r="A54" s="22" t="inlineStr">
        <is>
          <t>•  Expenses on a SINGLE CASH BASIS: $323,106 bank spend, less $13,980 washer reclass = $309,126 Goods cash out.</t>
        </is>
      </c>
    </row>
    <row r="55">
      <c r="A55" s="22" t="inlineStr">
        <is>
          <t>•  Founder rate $560/day LOCKED. Entity: A Curious Tractor Pty Ltd (ABN 36 697 347 676) t/a Goods on Country; DGR via The Butterfly Movement Ltd.</t>
        </is>
      </c>
    </row>
    <row r="56">
      <c r="A56" s="22" t="inlineStr">
        <is>
          <t>•  Revenue ~89% grant-funded = NOT trading profit. Capex treated in cash. Model is a management workpaper — NOT audited; accountant sign-off pending.</t>
        </is>
      </c>
    </row>
  </sheetData>
  <mergeCells count="9">
    <mergeCell ref="A56:D56"/>
    <mergeCell ref="A53:D53"/>
    <mergeCell ref="B8:D8"/>
    <mergeCell ref="A54:D54"/>
    <mergeCell ref="A55:D55"/>
    <mergeCell ref="B9:D9"/>
    <mergeCell ref="A2:G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2026-05-29T04:47:13Z</dcterms:created>
  <dcterms:modified xmlns:dcterms="http://purl.org/dc/terms/" xmlns:xsi="http://www.w3.org/2001/XMLSchema-instance" xsi:type="dcterms:W3CDTF">2026-05-29T04:47:13Z</dcterms:modified>
</cp:coreProperties>
</file>