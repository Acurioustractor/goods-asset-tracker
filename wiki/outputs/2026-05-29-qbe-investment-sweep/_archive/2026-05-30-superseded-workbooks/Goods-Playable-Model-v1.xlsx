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Unit Cost" sheetId="2" state="visible" r:id="rId2"/>
    <sheet xmlns:r="http://schemas.openxmlformats.org/officeDocument/2006/relationships" name="Location &amp; Containerisation" sheetId="3" state="visible" r:id="rId3"/>
    <sheet xmlns:r="http://schemas.openxmlformats.org/officeDocument/2006/relationships" name="Wages &amp; People" sheetId="4" state="visible" r:id="rId4"/>
    <sheet xmlns:r="http://schemas.openxmlformats.org/officeDocument/2006/relationships" name="Revenue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Balance Sheet &amp; WC" sheetId="7" state="visible" r:id="rId7"/>
    <sheet xmlns:r="http://schemas.openxmlformats.org/officeDocument/2006/relationships" name="Cashflow 36-month" sheetId="8" state="visible" r:id="rId8"/>
    <sheet xmlns:r="http://schemas.openxmlformats.org/officeDocument/2006/relationships" name="Investment &amp; Financing" sheetId="9" state="visible" r:id="rId9"/>
    <sheet xmlns:r="http://schemas.openxmlformats.org/officeDocument/2006/relationships" name="Scenarios" sheetId="10" state="visible" r:id="rId10"/>
    <sheet xmlns:r="http://schemas.openxmlformats.org/officeDocument/2006/relationships" name="Assumptions &amp; Proven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x&quot;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color rgb="00595959"/>
      <sz val="9"/>
    </font>
    <font>
      <i val="1"/>
      <color rgb="00595959"/>
    </font>
  </fonts>
  <fills count="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4" borderId="0" pivotButton="0" quotePrefix="0" xfId="0"/>
    <xf numFmtId="0" fontId="1" fillId="2" borderId="0" pivotButton="0" quotePrefix="0" xfId="0"/>
    <xf numFmtId="0" fontId="3" fillId="0" borderId="0" pivotButton="0" quotePrefix="0" xfId="0"/>
    <xf numFmtId="4" fontId="2" fillId="5" borderId="0" pivotButton="0" quotePrefix="0" xfId="0"/>
    <xf numFmtId="3" fontId="2" fillId="5" borderId="0" pivotButton="0" quotePrefix="0" xfId="0"/>
    <xf numFmtId="0" fontId="4" fillId="0" borderId="0" pivotButton="0" quotePrefix="0" xfId="0"/>
    <xf numFmtId="0" fontId="2" fillId="3" borderId="0" pivotButton="0" quotePrefix="0" xfId="0"/>
    <xf numFmtId="3" fontId="0" fillId="6" borderId="1" pivotButton="0" quotePrefix="0" xfId="0"/>
    <xf numFmtId="9" fontId="0" fillId="6" borderId="1" pivotButton="0" quotePrefix="0" xfId="0"/>
    <xf numFmtId="0" fontId="5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0" fillId="5" borderId="0" pivotButton="0" quotePrefix="0" xfId="0"/>
    <xf numFmtId="164" fontId="0" fillId="0" borderId="0" pivotButton="0" quotePrefix="0" xfId="0"/>
    <xf numFmtId="3" fontId="3" fillId="0" borderId="0" pivotButton="0" quotePrefix="0" xfId="0"/>
    <xf numFmtId="3" fontId="0" fillId="0" borderId="0" pivotButton="0" quotePrefix="0" xfId="0"/>
    <xf numFmtId="3" fontId="0" fillId="5" borderId="0" pivotButton="0" quotePrefix="0" xfId="0"/>
    <xf numFmtId="2" fontId="0" fillId="6" borderId="1" pivotButton="0" quotePrefix="0" xfId="0"/>
    <xf numFmtId="0" fontId="2" fillId="3" borderId="0" applyAlignment="1" pivotButton="0" quotePrefix="0" xfId="0">
      <alignment horizontal="center"/>
    </xf>
    <xf numFmtId="3" fontId="0" fillId="7" borderId="0" pivotButton="0" quotePrefix="0" xfId="0"/>
    <xf numFmtId="165" fontId="2" fillId="5" borderId="0" pivotButton="0" quotePrefix="0" xfId="0"/>
    <xf numFmtId="3" fontId="4" fillId="5" borderId="0" pivotButton="0" quotePrefix="0" xfId="0"/>
    <xf numFmtId="9" fontId="0" fillId="0" borderId="0" pivotButton="0" quotePrefix="0" xfId="0"/>
    <xf numFmtId="164" fontId="0" fillId="5" borderId="0" pivotButton="0" quotePrefix="0" xfId="0"/>
    <xf numFmtId="9" fontId="0" fillId="5" borderId="0" pivotButton="0" quotePrefix="0" xfId="0"/>
    <xf numFmtId="4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46" customWidth="1" min="4" max="4"/>
    <col width="2" customWidth="1" min="5" max="5"/>
    <col width="30" customWidth="1" min="6" max="6"/>
    <col width="18" customWidth="1" min="7" max="7"/>
  </cols>
  <sheetData>
    <row r="1" ht="22" customHeight="1">
      <c r="A1" s="1" t="inlineStr">
        <is>
          <t>CONTROL PANEL — the dials (yellow). Turn a dial; every tab re-flows.</t>
        </is>
      </c>
    </row>
    <row r="2">
      <c r="A2" s="2" t="inlineStr">
        <is>
          <t>~89% grant-funded. Xero-mirror workpaper, NOT audited. Capital ask: $112K-$222K GROSS (firm quote pending). CRM pipeline is INTERNAL ONLY, not committed capital.</t>
        </is>
      </c>
    </row>
    <row r="4">
      <c r="A4" s="3" t="inlineStr">
        <is>
          <t>DASHBOARD (the six numbers an investor asks for)</t>
        </is>
      </c>
    </row>
    <row r="5">
      <c r="A5" s="4" t="inlineStr">
        <is>
          <t>Marginal cost/bed (selected method)</t>
        </is>
      </c>
      <c r="B5" s="5">
        <f>'Unit Cost'!$B$14</f>
        <v/>
      </c>
    </row>
    <row r="6">
      <c r="A6" s="4" t="inlineStr">
        <is>
          <t>Annual fixed block</t>
        </is>
      </c>
      <c r="B6" s="5">
        <f>'Assumptions &amp; Provenance'!$B$35</f>
        <v/>
      </c>
    </row>
    <row r="7">
      <c r="A7" s="4" t="inlineStr">
        <is>
          <t>Breakeven beds/yr</t>
        </is>
      </c>
      <c r="B7" s="6">
        <f>'Unit Cost'!$B$18</f>
        <v/>
      </c>
    </row>
    <row r="8">
      <c r="A8" s="4" t="inlineStr">
        <is>
          <t>Operating surplus after founder time (fwd, annual)</t>
        </is>
      </c>
      <c r="B8" s="5">
        <f>'P&amp;L'!$E$11</f>
        <v/>
      </c>
    </row>
    <row r="9">
      <c r="A9" s="4" t="inlineStr">
        <is>
          <t>Gross capex ask (low-high)</t>
        </is>
      </c>
      <c r="B9" s="6">
        <f>'Investment &amp; Financing'!$B$5</f>
        <v/>
      </c>
    </row>
    <row r="10">
      <c r="A10" s="4" t="inlineStr">
        <is>
          <t>36-mo cumulative cash trough</t>
        </is>
      </c>
      <c r="B10" s="5">
        <f>'Cashflow 36-month'!$B$20</f>
        <v/>
      </c>
    </row>
    <row r="11">
      <c r="A11" s="7" t="inlineStr">
        <is>
          <t xml:space="preserve">  (forward surplus = contribution x beds - non-founder fixed - founder*FTE%; annual, before depreciation/interest)</t>
        </is>
      </c>
    </row>
    <row r="13">
      <c r="A13" s="3" t="inlineStr">
        <is>
          <t>DIALS</t>
        </is>
      </c>
    </row>
    <row r="14">
      <c r="A14" s="8" t="inlineStr">
        <is>
          <t>Dial</t>
        </is>
      </c>
      <c r="B14" s="8" t="inlineStr">
        <is>
          <t>Value</t>
        </is>
      </c>
      <c r="C14" s="8" t="inlineStr">
        <is>
          <t>Tag</t>
        </is>
      </c>
      <c r="D14" s="8" t="inlineStr">
        <is>
          <t>Notes</t>
        </is>
      </c>
    </row>
    <row r="15">
      <c r="A15" s="4" t="inlineStr">
        <is>
          <t>Beds/yr (Year-1 run-rate)</t>
        </is>
      </c>
      <c r="B15" s="9" t="n">
        <v>120</v>
      </c>
      <c r="C15" s="7" t="inlineStr">
        <is>
          <t>modelled</t>
        </is>
      </c>
      <c r="D15" s="7" t="inlineStr">
        <is>
          <t>today ~100-150, NOT 500</t>
        </is>
      </c>
    </row>
    <row r="16">
      <c r="A16" s="4" t="inlineStr">
        <is>
          <t>Annual volume growth %</t>
        </is>
      </c>
      <c r="B16" s="10" t="n">
        <v>0.6</v>
      </c>
      <c r="C16" s="7" t="inlineStr">
        <is>
          <t>target</t>
        </is>
      </c>
      <c r="D16" s="7" t="inlineStr">
        <is>
          <t>feeds the 36-mo ramp</t>
        </is>
      </c>
    </row>
    <row r="17">
      <c r="A17" s="4" t="inlineStr">
        <is>
          <t>Price per bed</t>
        </is>
      </c>
      <c r="B17" s="9" t="n">
        <v>750</v>
      </c>
      <c r="C17" s="7" t="inlineStr">
        <is>
          <t>verified</t>
        </is>
      </c>
      <c r="D17" s="7" t="inlineStr">
        <is>
          <t>shop stretch-bed-single</t>
        </is>
      </c>
    </row>
    <row r="18">
      <c r="A18" s="4" t="inlineStr">
        <is>
          <t>Build method (1-4)</t>
        </is>
      </c>
      <c r="B18" s="9" t="n">
        <v>1</v>
      </c>
      <c r="C18" s="7" t="inlineStr">
        <is>
          <t>dial</t>
        </is>
      </c>
      <c r="D18" s="7" t="inlineStr">
        <is>
          <t>1 Buy-Kit / 2 Buy-Panels / 3 Factory / 4 Community</t>
        </is>
      </c>
    </row>
    <row r="19">
      <c r="A19" s="4" t="inlineStr">
        <is>
          <t>Production location (1-3)</t>
        </is>
      </c>
      <c r="B19" s="9" t="n">
        <v>1</v>
      </c>
      <c r="C19" s="7" t="inlineStr">
        <is>
          <t>dial</t>
        </is>
      </c>
      <c r="D19" s="7" t="inlineStr">
        <is>
          <t>1 Sydney-Defy / 2 Sunshine Coast / 3 On-Country</t>
        </is>
      </c>
    </row>
    <row r="20">
      <c r="A20" s="4" t="inlineStr">
        <is>
          <t>Containerise? (0/1)</t>
        </is>
      </c>
      <c r="B20" s="9" t="n">
        <v>0</v>
      </c>
      <c r="C20" s="7" t="inlineStr">
        <is>
          <t>dial</t>
        </is>
      </c>
      <c r="D20" s="7" t="inlineStr">
        <is>
          <t>1 = mobile container plant economics</t>
        </is>
      </c>
    </row>
    <row r="21">
      <c r="A21" s="4" t="inlineStr">
        <is>
          <t>Founder FTE % (combined)</t>
        </is>
      </c>
      <c r="B21" s="10" t="n">
        <v>1</v>
      </c>
      <c r="C21" s="7" t="inlineStr">
        <is>
          <t>dial</t>
        </is>
      </c>
      <c r="D21" s="7" t="inlineStr">
        <is>
          <t>25 / 50 / 75 / 100 — feeds P&amp;L founder line</t>
        </is>
      </c>
    </row>
    <row r="22">
      <c r="A22" s="4" t="inlineStr">
        <is>
          <t>Labour rate $/day</t>
        </is>
      </c>
      <c r="B22" s="9" t="n">
        <v>400</v>
      </c>
      <c r="C22" s="7" t="inlineStr">
        <is>
          <t>inferred</t>
        </is>
      </c>
      <c r="D22" s="7" t="inlineStr">
        <is>
          <t>promoted from hardcode (also in Assumptions)</t>
        </is>
      </c>
    </row>
    <row r="23">
      <c r="A23" s="4" t="inlineStr">
        <is>
          <t>Factory throughput beds/day</t>
        </is>
      </c>
      <c r="B23" s="9" t="n">
        <v>5</v>
      </c>
      <c r="C23" s="7" t="inlineStr">
        <is>
          <t>modelled</t>
        </is>
      </c>
      <c r="D23" s="7" t="inlineStr">
        <is>
          <t>drives labour/bed</t>
        </is>
      </c>
    </row>
    <row r="24">
      <c r="A24" s="4" t="inlineStr">
        <is>
          <t>Local freight $/bed</t>
        </is>
      </c>
      <c r="B24" s="9" t="n">
        <v>25</v>
      </c>
      <c r="C24" s="7" t="inlineStr">
        <is>
          <t>modelled</t>
        </is>
      </c>
      <c r="D24" s="7" t="inlineStr">
        <is>
          <t>marginal</t>
        </is>
      </c>
    </row>
    <row r="25">
      <c r="A25" s="4" t="inlineStr">
        <is>
          <t>Long-haul freight $/bed</t>
        </is>
      </c>
      <c r="B25" s="9" t="n">
        <v>150</v>
      </c>
      <c r="C25" s="7" t="inlineStr">
        <is>
          <t>modelled</t>
        </is>
      </c>
      <c r="D25" s="7" t="inlineStr">
        <is>
          <t>marginal, not overhead</t>
        </is>
      </c>
    </row>
    <row r="26">
      <c r="A26" s="4" t="inlineStr">
        <is>
          <t># containerised plants (0-N)</t>
        </is>
      </c>
      <c r="B26" s="9" t="n">
        <v>0</v>
      </c>
      <c r="C26" s="7" t="inlineStr">
        <is>
          <t>dial</t>
        </is>
      </c>
      <c r="D26" s="7" t="inlineStr">
        <is>
          <t>each ~$180K, capacity ~1,000/yr</t>
        </is>
      </c>
    </row>
    <row r="27">
      <c r="A27" s="4" t="inlineStr">
        <is>
          <t>Opening cash 1-May-2026</t>
        </is>
      </c>
      <c r="B27" s="9" t="n">
        <v>50000</v>
      </c>
      <c r="C27" s="7" t="inlineStr">
        <is>
          <t>TO CONFIRM</t>
        </is>
      </c>
      <c r="D27" s="7" t="inlineStr">
        <is>
          <t>highest-leverage input (50,000 placeholder)</t>
        </is>
      </c>
    </row>
    <row r="28">
      <c r="A28" s="4" t="inlineStr">
        <is>
          <t>Founder day-rate</t>
        </is>
      </c>
      <c r="B28" s="9" t="n">
        <v>560</v>
      </c>
      <c r="C28" s="7" t="inlineStr">
        <is>
          <t>locked</t>
        </is>
      </c>
      <c r="D28" s="7" t="inlineStr">
        <is>
          <t>NOT 1,000</t>
        </is>
      </c>
    </row>
    <row r="29">
      <c r="A29" s="4" t="inlineStr">
        <is>
          <t>Founder days/yr on Goods</t>
        </is>
      </c>
      <c r="B29" s="9" t="n">
        <v>150</v>
      </c>
      <c r="C29" s="7" t="inlineStr">
        <is>
          <t>locked</t>
        </is>
      </c>
      <c r="D29" s="7" t="inlineStr">
        <is>
          <t>30/50/25/45 split</t>
        </is>
      </c>
    </row>
    <row r="30">
      <c r="A30" s="4" t="inlineStr">
        <is>
          <t>Use scenario preset? (0=manual, 1-6)</t>
        </is>
      </c>
      <c r="B30" s="9" t="n">
        <v>0</v>
      </c>
      <c r="C30" s="7" t="inlineStr">
        <is>
          <t>dial</t>
        </is>
      </c>
      <c r="D30" s="7" t="inlineStr">
        <is>
          <t>0=use dials above; 1-6 pull a Scenarios preset</t>
        </is>
      </c>
    </row>
    <row r="32">
      <c r="A32" s="11" t="inlineStr">
        <is>
          <t>Yellow = input dial. White = formula. Sanity-check all dials in Google Sheets (openpyxl does not compute formulas).</t>
        </is>
      </c>
    </row>
  </sheetData>
  <mergeCells count="4">
    <mergeCell ref="A13:D13"/>
    <mergeCell ref="A2:G2"/>
    <mergeCell ref="A4:D4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0" customWidth="1" min="7" max="7"/>
  </cols>
  <sheetData>
    <row r="1" ht="22" customHeight="1">
      <c r="A1" s="1" t="inlineStr">
        <is>
          <t>UNIT COST — v6 cost ladder, formula-driven off dials (no constants)</t>
        </is>
      </c>
    </row>
    <row r="2">
      <c r="A2" s="8" t="inlineStr">
        <is>
          <t>Build-path direct cost/bed (materials + on-site labour; EX long-haul freight)</t>
        </is>
      </c>
    </row>
    <row r="3">
      <c r="A3" s="4" t="inlineStr">
        <is>
          <t>Buy-Kit direct</t>
        </is>
      </c>
      <c r="B3" s="12">
        <f>'Assumptions &amp; Provenance'!$B$11+'Assumptions &amp; Provenance'!$B$43</f>
        <v/>
      </c>
      <c r="G3" s="7" t="inlineStr">
        <is>
          <t>≈ 534.79 (BOM 469.79 + kit assembly/handling 65.00)</t>
        </is>
      </c>
    </row>
    <row r="4">
      <c r="A4" s="4" t="inlineStr">
        <is>
          <t>Buy-Panels direct</t>
        </is>
      </c>
      <c r="B4" s="12">
        <f>2*'Assumptions &amp; Provenance'!$B$16+'Assumptions &amp; Provenance'!$B$6+'Assumptions &amp; Provenance'!$B$7+'Assumptions &amp; Provenance'!$B$15+'Assumptions &amp; Provenance'!$B$17</f>
        <v/>
      </c>
      <c r="G4" s="7" t="inlineStr">
        <is>
          <t>≈ 584.07 (400 + 27 + 93.50 + 5.24 + 58.33 self-CNC labour). Labour-add closes the gap; no separate diesel line.</t>
        </is>
      </c>
    </row>
    <row r="5">
      <c r="A5" s="4" t="inlineStr">
        <is>
          <t>Factory direct</t>
        </is>
      </c>
      <c r="B5" s="12">
        <f>'Assumptions &amp; Provenance'!$B$13+'Assumptions &amp; Provenance'!$B$14+('Control Panel'!$B$22/'Control Panel'!$B$23)+'Assumptions &amp; Provenance'!$B$6+'Assumptions &amp; Provenance'!$B$7+'Assumptions &amp; Provenance'!$B$15</f>
        <v/>
      </c>
      <c r="G5" s="7" t="inlineStr">
        <is>
          <t>≈ 275.74 (55 + 15 + 80 + 27 + 93.50 + 5.24)</t>
        </is>
      </c>
    </row>
    <row r="6">
      <c r="A6" s="4" t="inlineStr">
        <is>
          <t>Community direct</t>
        </is>
      </c>
      <c r="B6" s="12">
        <f>'Assumptions &amp; Provenance'!$B$6+'Assumptions &amp; Provenance'!$B$7+'Assumptions &amp; Provenance'!$B$15+'Assumptions &amp; Provenance'!$B$14</f>
        <v/>
      </c>
      <c r="G6" s="7" t="inlineStr">
        <is>
          <t>≈ 140.74 (steel 27 + canvas 93.50 + hardware 5.24 + diesel 15; plastic = community-collected free, labour absorbed)</t>
        </is>
      </c>
    </row>
    <row r="8">
      <c r="A8" s="4" t="inlineStr">
        <is>
          <t>Selected direct (per build method dial)</t>
        </is>
      </c>
      <c r="B8" s="5">
        <f>CHOOSE('Control Panel'!$B$18,$B$3,$B$4,$B$5,$B$6)</f>
        <v/>
      </c>
    </row>
    <row r="10">
      <c r="A10" s="8" t="inlineStr">
        <is>
          <t>Marginal cost/bed (direct + long-haul freight)</t>
        </is>
      </c>
    </row>
    <row r="11">
      <c r="A11" s="4" t="inlineStr">
        <is>
          <t>Buy-Kit marginal</t>
        </is>
      </c>
      <c r="B11" s="12">
        <f>$B$3+'Location &amp; Containerisation'!$B$14</f>
        <v/>
      </c>
      <c r="G11" s="7" t="inlineStr">
        <is>
          <t>≈ 684.79 at 150 freight</t>
        </is>
      </c>
    </row>
    <row r="12">
      <c r="A12" s="4" t="inlineStr">
        <is>
          <t>Buy-Panels marginal</t>
        </is>
      </c>
      <c r="B12" s="12">
        <f>$B$4+'Location &amp; Containerisation'!$B$14</f>
        <v/>
      </c>
    </row>
    <row r="13">
      <c r="A13" s="4" t="inlineStr">
        <is>
          <t>Factory marginal</t>
        </is>
      </c>
      <c r="B13" s="12">
        <f>$B$5+'Location &amp; Containerisation'!$B$14</f>
        <v/>
      </c>
      <c r="G13" s="7" t="inlineStr">
        <is>
          <t>≈ 425.74 at 150 freight</t>
        </is>
      </c>
    </row>
    <row r="14">
      <c r="A14" s="13" t="inlineStr">
        <is>
          <t>SELECTED marginal cost/bed</t>
        </is>
      </c>
      <c r="B14" s="5">
        <f>$B$8+'Location &amp; Containerisation'!$B$14</f>
        <v/>
      </c>
      <c r="G14" s="7" t="inlineStr">
        <is>
          <t>&lt;- Control Panel dashboard reads this cell ($B$14)</t>
        </is>
      </c>
    </row>
    <row r="16">
      <c r="A16" s="8" t="inlineStr">
        <is>
          <t>Contribution &amp; breakeven</t>
        </is>
      </c>
    </row>
    <row r="17">
      <c r="A17" s="4" t="inlineStr">
        <is>
          <t>Contribution /bed @ price</t>
        </is>
      </c>
      <c r="B17" s="14">
        <f>'Control Panel'!$B$17-$B$14</f>
        <v/>
      </c>
      <c r="G17" s="7" t="inlineStr">
        <is>
          <t>≈ price - selected marginal (Buy-Kit 65.21 / Factory 324.26 / Community 459.26)</t>
        </is>
      </c>
    </row>
    <row r="18">
      <c r="A18" s="13" t="inlineStr">
        <is>
          <t>Breakeven beds/yr</t>
        </is>
      </c>
      <c r="B18" s="6">
        <f>ROUND('Assumptions &amp; Provenance'!$B$35/$B$17,0)</f>
        <v/>
      </c>
      <c r="G18" s="7" t="inlineStr">
        <is>
          <t>≈ ROUND(109,500 / contribution). Factory 338 / Buy-Kit 1679 / Community 238. [Spec said ROUNDUP -&gt; simplified to ROUND to match LOCKED values.]</t>
        </is>
      </c>
    </row>
    <row r="20">
      <c r="A20" s="8" t="inlineStr">
        <is>
          <t>Idiot index — HDPE legs</t>
        </is>
      </c>
    </row>
    <row r="21">
      <c r="A21" s="4" t="inlineStr">
        <is>
          <t>vs Defy shred floor (8.6x)</t>
        </is>
      </c>
      <c r="B21" s="15">
        <f>'Assumptions &amp; Provenance'!$B$5/'Assumptions &amp; Provenance'!$B$22</f>
        <v/>
      </c>
      <c r="G21" s="7" t="inlineStr">
        <is>
          <t>≈ 344.05 / 40.00 (20kg x $2/kg Defy shred SELL price)</t>
        </is>
      </c>
    </row>
    <row r="22">
      <c r="A22" s="4" t="inlineStr">
        <is>
          <t>vs raw polymer floor (~21.5x)</t>
        </is>
      </c>
      <c r="B22" s="15">
        <f>'Assumptions &amp; Provenance'!$B$5/'Assumptions &amp; Provenance'!$B$23</f>
        <v/>
      </c>
      <c r="G22" s="7" t="inlineStr">
        <is>
          <t>≈ 344.05 / 16.00 (20kg x $0.80/kg Envirobank). The TRUE physics floor.</t>
        </is>
      </c>
    </row>
    <row r="23">
      <c r="A23" s="4" t="inlineStr">
        <is>
          <t>Idiot index — steel</t>
        </is>
      </c>
      <c r="B23" s="15">
        <f>'Assumptions &amp; Provenance'!$B$6/12.86</f>
        <v/>
      </c>
      <c r="G23" s="7" t="inlineStr">
        <is>
          <t>~2.1x</t>
        </is>
      </c>
    </row>
    <row r="24">
      <c r="A24" s="4" t="inlineStr">
        <is>
          <t>Idiot index — canvas</t>
        </is>
      </c>
      <c r="B24" s="15">
        <f>'Assumptions &amp; Provenance'!$B$7/38.96</f>
        <v/>
      </c>
      <c r="G24" s="7" t="inlineStr">
        <is>
          <t>~2.4x</t>
        </is>
      </c>
    </row>
    <row r="26">
      <c r="A26" s="2" t="inlineStr">
        <is>
          <t>THE CAPITAL CASE: 20kg of plastic costing ~$16-40 of raw material sits inside a $344 part. That gap x volume = the investment case.</t>
        </is>
      </c>
    </row>
  </sheetData>
  <mergeCells count="2">
    <mergeCell ref="A26:G26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30" customWidth="1" min="4" max="4"/>
    <col width="40" customWidth="1" min="5" max="5"/>
  </cols>
  <sheetData>
    <row r="1" ht="22" customHeight="1">
      <c r="A1" s="1" t="inlineStr">
        <is>
          <t>LOCATION &amp; CONTAINERISATION — named levers as a lookup</t>
        </is>
      </c>
    </row>
    <row r="2">
      <c r="A2" s="8" t="inlineStr">
        <is>
          <t>Location lookup (the method dial cannot reach these on its own)</t>
        </is>
      </c>
    </row>
    <row r="3">
      <c r="A3" s="3" t="inlineStr">
        <is>
          <t>Location (1-3)</t>
        </is>
      </c>
      <c r="B3" s="3" t="inlineStr">
        <is>
          <t>Facility rent $/yr</t>
        </is>
      </c>
      <c r="C3" s="3" t="inlineStr">
        <is>
          <t>Inbound freight $/bed</t>
        </is>
      </c>
      <c r="D3" s="3" t="inlineStr">
        <is>
          <t>Outbound freight $/bed</t>
        </is>
      </c>
      <c r="E3" s="3" t="inlineStr">
        <is>
          <t>Note</t>
        </is>
      </c>
    </row>
    <row r="4">
      <c r="A4" s="16" t="n">
        <v>1</v>
      </c>
      <c r="B4" s="17" t="n">
        <v>0</v>
      </c>
      <c r="C4" s="17" t="n">
        <v>0</v>
      </c>
      <c r="D4" s="17" t="n">
        <v>150</v>
      </c>
      <c r="E4" s="7" t="inlineStr">
        <is>
          <t>Sydney-Defy: buy kits, no facility</t>
        </is>
      </c>
    </row>
    <row r="5">
      <c r="A5" s="16" t="n">
        <v>2</v>
      </c>
      <c r="B5" s="17" t="n">
        <v>54000</v>
      </c>
      <c r="C5" s="17" t="n">
        <v>30</v>
      </c>
      <c r="D5" s="17" t="n">
        <v>150</v>
      </c>
      <c r="E5" s="7" t="inlineStr">
        <is>
          <t>Sunshine Coast: Kirmos $4,500/mo</t>
        </is>
      </c>
    </row>
    <row r="6">
      <c r="A6" s="16" t="n">
        <v>3</v>
      </c>
      <c r="B6" s="17" t="n">
        <v>24000</v>
      </c>
      <c r="C6" s="17" t="n">
        <v>60</v>
      </c>
      <c r="D6" s="17" t="n">
        <v>80</v>
      </c>
      <c r="E6" s="7" t="inlineStr">
        <is>
          <t>On-Country: feedstock in, shorter local haul</t>
        </is>
      </c>
    </row>
    <row r="8">
      <c r="A8" s="3" t="inlineStr">
        <is>
          <t>SELECTED (driven by Control Panel)</t>
        </is>
      </c>
    </row>
    <row r="9">
      <c r="A9" s="4" t="inlineStr">
        <is>
          <t>Selected location rent $/yr</t>
        </is>
      </c>
      <c r="B9" s="18">
        <f>INDEX($B$4:$B$6,MATCH('Control Panel'!$B$19,$A$4:$A$6,0))</f>
        <v/>
      </c>
    </row>
    <row r="10">
      <c r="A10" s="4" t="inlineStr">
        <is>
          <t>Selected inbound freight $/bed</t>
        </is>
      </c>
      <c r="B10" s="17">
        <f>INDEX($C$4:$C$6,MATCH('Control Panel'!$B$19,$A$4:$A$6,0))</f>
        <v/>
      </c>
    </row>
    <row r="11">
      <c r="A11" s="4" t="inlineStr">
        <is>
          <t>Selected outbound freight $/bed</t>
        </is>
      </c>
      <c r="B11" s="18">
        <f>IF('Control Panel'!$B$20=1,$D$6,INDEX($D$4:$D$6,MATCH('Control Panel'!$B$19,$A$4:$A$6,0)))</f>
        <v/>
      </c>
    </row>
    <row r="12">
      <c r="A12" s="4" t="inlineStr">
        <is>
          <t>Container fit-out capex (total)</t>
        </is>
      </c>
      <c r="B12" s="17">
        <f>'Control Panel'!$B$26*'Assumptions &amp; Provenance'!$B$57</f>
        <v/>
      </c>
    </row>
    <row r="13">
      <c r="A13" s="4" t="inlineStr">
        <is>
          <t>Container capacity (beds/yr)</t>
        </is>
      </c>
      <c r="B13" s="17">
        <f>'Control Panel'!$B$26*1000</f>
        <v/>
      </c>
    </row>
    <row r="14">
      <c r="A14" s="4" t="inlineStr">
        <is>
          <t>Long-haul freight applied $/bed (effective)</t>
        </is>
      </c>
      <c r="B14" s="18">
        <f>$B$11</f>
        <v/>
      </c>
    </row>
    <row r="16">
      <c r="A16" s="11" t="inlineStr">
        <is>
          <t>Wire: Selected rent -&gt; P&amp;L opex; Selected outbound -&gt; Unit Cost marginal freight.</t>
        </is>
      </c>
    </row>
  </sheetData>
  <mergeCells count="2">
    <mergeCell ref="A1:E1"/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 ht="22" customHeight="1">
      <c r="A1" s="1" t="inlineStr">
        <is>
          <t>WAGES &amp; PEOPLE — founder wage (FTE dial flows to P&amp;L) + staffing-hire layer</t>
        </is>
      </c>
    </row>
    <row r="2">
      <c r="A2" s="8" t="inlineStr">
        <is>
          <t>Founder line (flows to P&amp;L — satisfies Matt's 'are the founders paid' test)</t>
        </is>
      </c>
    </row>
    <row r="3">
      <c r="A3" s="4" t="inlineStr">
        <is>
          <t>Founder cost/yr (FTE-scaled)</t>
        </is>
      </c>
      <c r="B3" s="5">
        <f>'Control Panel'!$B$28*'Control Panel'!$B$29*'Control Panel'!$B$21</f>
        <v/>
      </c>
      <c r="F3" s="7" t="inlineStr">
        <is>
          <t>≈ 560 x 150 x FTE%</t>
        </is>
      </c>
    </row>
    <row r="4">
      <c r="A4" s="4" t="inlineStr">
        <is>
          <t>Production share/yr (touches unit cost)</t>
        </is>
      </c>
      <c r="B4" s="12">
        <f>'Control Panel'!$B$28*'Assumptions &amp; Provenance'!$B$27*'Control Panel'!$B$21</f>
        <v/>
      </c>
      <c r="F4" s="7" t="inlineStr">
        <is>
          <t>≈ 560 x 30 x FTE%</t>
        </is>
      </c>
    </row>
    <row r="6">
      <c r="A6" s="8" t="inlineStr">
        <is>
          <t>FTE sensitivity strip (READS off the dial structure, not static)</t>
        </is>
      </c>
    </row>
    <row r="7">
      <c r="A7" s="4" t="inlineStr">
        <is>
          <t>FTE %</t>
        </is>
      </c>
      <c r="B7" s="8" t="inlineStr">
        <is>
          <t>25%</t>
        </is>
      </c>
      <c r="C7" s="8" t="inlineStr">
        <is>
          <t>50%</t>
        </is>
      </c>
      <c r="D7" s="8" t="inlineStr">
        <is>
          <t>75%</t>
        </is>
      </c>
      <c r="E7" s="8" t="inlineStr">
        <is>
          <t>100%</t>
        </is>
      </c>
    </row>
    <row r="8">
      <c r="A8" s="4" t="inlineStr">
        <is>
          <t>Founder cost/yr</t>
        </is>
      </c>
      <c r="B8" s="12">
        <f>'Assumptions &amp; Provenance'!$B$28*0.25</f>
        <v/>
      </c>
      <c r="C8" s="12">
        <f>'Assumptions &amp; Provenance'!$B$28*0.5</f>
        <v/>
      </c>
      <c r="D8" s="12">
        <f>'Assumptions &amp; Provenance'!$B$28*0.75</f>
        <v/>
      </c>
      <c r="E8" s="12">
        <f>'Assumptions &amp; Provenance'!$B$28*1.0</f>
        <v/>
      </c>
    </row>
    <row r="9">
      <c r="A9" s="4" t="inlineStr">
        <is>
          <t>Fwd annual surplus AFTER founder (Factory@500 ref)</t>
        </is>
      </c>
      <c r="B9" s="12">
        <f>(750-425.74)*500-'Assumptions &amp; Provenance'!$B$34-'Assumptions &amp; Provenance'!$B$28*0.25</f>
        <v/>
      </c>
      <c r="C9" s="12">
        <f>(750-425.74)*500-'Assumptions &amp; Provenance'!$B$34-'Assumptions &amp; Provenance'!$B$28*0.5</f>
        <v/>
      </c>
      <c r="D9" s="12">
        <f>(750-425.74)*500-'Assumptions &amp; Provenance'!$B$34-'Assumptions &amp; Provenance'!$B$28*0.75</f>
        <v/>
      </c>
      <c r="E9" s="12">
        <f>(750-425.74)*500-'Assumptions &amp; Provenance'!$B$34-'Assumptions &amp; Provenance'!$B$28*1.0</f>
        <v/>
      </c>
      <c r="F9" s="7" t="inlineStr">
        <is>
          <t>100% -&gt; -14,570 (Factory@500). Illustrative; live P&amp;L uses the dialled method/volume.</t>
        </is>
      </c>
    </row>
    <row r="11">
      <c r="A11" s="8" t="inlineStr">
        <is>
          <t>Staffing hires (Matt's investment scenario layer)</t>
        </is>
      </c>
    </row>
    <row r="12">
      <c r="A12" s="3" t="inlineStr">
        <is>
          <t>Role</t>
        </is>
      </c>
      <c r="B12" s="3" t="inlineStr">
        <is>
          <t>Fully-loaded $/yr</t>
        </is>
      </c>
      <c r="C12" s="3" t="inlineStr">
        <is>
          <t>Ramp month</t>
        </is>
      </c>
      <c r="D12" s="3" t="inlineStr">
        <is>
          <t>Active months (of 36)</t>
        </is>
      </c>
      <c r="E12" s="3" t="inlineStr">
        <is>
          <t>3-yr cost</t>
        </is>
      </c>
      <c r="F12" s="3" t="inlineStr">
        <is>
          <t>Contribution note</t>
        </is>
      </c>
    </row>
    <row r="13">
      <c r="A13" s="4" t="inlineStr">
        <is>
          <t>Salesperson 1</t>
        </is>
      </c>
      <c r="B13" s="9" t="n">
        <v>90000</v>
      </c>
      <c r="C13" s="9" t="n">
        <v>1</v>
      </c>
      <c r="D13" s="17">
        <f>MAX(0,37-$C$13)</f>
        <v/>
      </c>
      <c r="E13" s="17">
        <f>$B$13*$D$13/12</f>
        <v/>
      </c>
      <c r="F13" s="7" t="inlineStr">
        <is>
          <t>+X committed beds/yr</t>
        </is>
      </c>
    </row>
    <row r="14">
      <c r="A14" s="4" t="inlineStr">
        <is>
          <t>Salesperson 2</t>
        </is>
      </c>
      <c r="B14" s="9" t="n">
        <v>90000</v>
      </c>
      <c r="C14" s="9" t="n">
        <v>4</v>
      </c>
      <c r="D14" s="17">
        <f>MAX(0,37-$C$14)</f>
        <v/>
      </c>
      <c r="E14" s="17">
        <f>$B$14*$D$14/12</f>
        <v/>
      </c>
      <c r="F14" s="7" t="inlineStr">
        <is>
          <t>+X committed beds/yr</t>
        </is>
      </c>
    </row>
    <row r="15">
      <c r="A15" s="4" t="inlineStr">
        <is>
          <t>Salesperson 3</t>
        </is>
      </c>
      <c r="B15" s="9" t="n">
        <v>90000</v>
      </c>
      <c r="C15" s="9" t="n">
        <v>7</v>
      </c>
      <c r="D15" s="17">
        <f>MAX(0,37-$C$15)</f>
        <v/>
      </c>
      <c r="E15" s="17">
        <f>$B$15*$D$15/12</f>
        <v/>
      </c>
      <c r="F15" s="7" t="inlineStr">
        <is>
          <t>+X committed beds/yr</t>
        </is>
      </c>
    </row>
    <row r="16">
      <c r="A16" s="4" t="inlineStr">
        <is>
          <t>Head of manufacturing</t>
        </is>
      </c>
      <c r="B16" s="9" t="n">
        <v>130000</v>
      </c>
      <c r="C16" s="9" t="n">
        <v>1</v>
      </c>
      <c r="D16" s="17">
        <f>MAX(0,37-$C$16)</f>
        <v/>
      </c>
      <c r="E16" s="17">
        <f>$B$16*$D$16/12</f>
        <v/>
      </c>
      <c r="F16" s="7" t="inlineStr">
        <is>
          <t>unlocks N plants / throughput</t>
        </is>
      </c>
    </row>
    <row r="17">
      <c r="A17" s="13" t="inlineStr">
        <is>
          <t>Total staffing 3-yr cost</t>
        </is>
      </c>
      <c r="E17" s="6">
        <f>SUM($E$13:$E$16)</f>
        <v/>
      </c>
    </row>
    <row r="18">
      <c r="A18" s="13" t="inlineStr">
        <is>
          <t>Annual staffing run-rate (all roles active)</t>
        </is>
      </c>
      <c r="B18" s="18">
        <f>SUM($B$13:$B$16)</f>
        <v/>
      </c>
      <c r="F18" s="7" t="inlineStr">
        <is>
          <t>≈ 0 by default in forward P&amp;L unless you opt staffing in (see note).</t>
        </is>
      </c>
    </row>
    <row r="19">
      <c r="A19" s="4" t="inlineStr">
        <is>
          <t>Include staffing in forward P&amp;L? (0/1)</t>
        </is>
      </c>
      <c r="B19" s="9" t="n">
        <v>0</v>
      </c>
      <c r="F19" s="7" t="inlineStr">
        <is>
          <t>0 = founder-only base case (default). 1 = load the 3 sales + head of mfg.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22" customHeight="1">
      <c r="A1" s="1" t="inlineStr">
        <is>
          <t>REVENUE — demand-driven (beds/yr is an OUTPUT, never a free 500)</t>
        </is>
      </c>
    </row>
    <row r="2">
      <c r="A2" s="8" t="inlineStr">
        <is>
          <t>Demand schedule (Year 1)</t>
        </is>
      </c>
    </row>
    <row r="3">
      <c r="A3" s="3" t="inlineStr">
        <is>
          <t>Source</t>
        </is>
      </c>
      <c r="B3" s="3" t="inlineStr">
        <is>
          <t>Beds Y1</t>
        </is>
      </c>
      <c r="C3" s="3" t="inlineStr">
        <is>
          <t>Probability</t>
        </is>
      </c>
      <c r="D3" s="3" t="inlineStr">
        <is>
          <t>Weighted beds</t>
        </is>
      </c>
      <c r="E3" s="3" t="inlineStr">
        <is>
          <t>Basis / tag</t>
        </is>
      </c>
    </row>
    <row r="4">
      <c r="A4" s="4" t="inlineStr">
        <is>
          <t>Committed (signed only)</t>
        </is>
      </c>
      <c r="B4" s="9" t="n">
        <v>60</v>
      </c>
      <c r="C4" s="19" t="n">
        <v>1</v>
      </c>
      <c r="D4" s="17">
        <f>$B$4*$C$4</f>
        <v/>
      </c>
      <c r="E4" s="7" t="inlineStr">
        <is>
          <t>name them — verified</t>
        </is>
      </c>
    </row>
    <row r="5">
      <c r="A5" s="4" t="inlineStr">
        <is>
          <t>Weighted pipeline</t>
        </is>
      </c>
      <c r="B5" s="9" t="n">
        <v>100</v>
      </c>
      <c r="C5" s="19" t="n">
        <v>0.4</v>
      </c>
      <c r="D5" s="17">
        <f>$B$5*$C$5</f>
        <v/>
      </c>
      <c r="E5" s="7" t="inlineStr">
        <is>
          <t>INTERNAL ONLY — not committed revenue</t>
        </is>
      </c>
    </row>
    <row r="6">
      <c r="A6" s="4" t="inlineStr">
        <is>
          <t>Retail / direct</t>
        </is>
      </c>
      <c r="B6" s="9" t="n">
        <v>20</v>
      </c>
      <c r="C6" s="19" t="n">
        <v>0.8</v>
      </c>
      <c r="D6" s="17">
        <f>$B$6*$C$6</f>
        <v/>
      </c>
      <c r="E6" s="7" t="inlineStr">
        <is>
          <t>modelled</t>
        </is>
      </c>
    </row>
    <row r="7">
      <c r="A7" s="13" t="inlineStr">
        <is>
          <t>Driven beds/yr (demand)</t>
        </is>
      </c>
      <c r="D7" s="6">
        <f>SUM($D$4:$D$6)</f>
        <v/>
      </c>
    </row>
    <row r="8">
      <c r="A8" s="13" t="inlineStr">
        <is>
          <t>Beds/yr used by model</t>
        </is>
      </c>
      <c r="B8" s="6">
        <f>'Control Panel'!$B$15</f>
        <v/>
      </c>
      <c r="E8" s="7" t="inlineStr">
        <is>
          <t>≈ Control Panel beds/yr dial. Demand schedule above is the honest cross-check.</t>
        </is>
      </c>
    </row>
    <row r="9">
      <c r="A9" s="13" t="inlineStr">
        <is>
          <t>Year-1 revenue (beds x price)</t>
        </is>
      </c>
      <c r="B9" s="6">
        <f>$B$8*'Control Panel'!$B$17</f>
        <v/>
      </c>
      <c r="E9" s="7" t="inlineStr">
        <is>
          <t>Never let the internal pipeline read as committed revenue.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 ht="22" customHeight="1">
      <c r="A1" s="1" t="inlineStr">
        <is>
          <t>P&amp;L — forward annual summary + 36-month monthly + actuals anchor</t>
        </is>
      </c>
    </row>
    <row r="2">
      <c r="A2" s="3" t="inlineStr">
        <is>
          <t>FORWARD ANNUAL SUMMARY (live, off the dials)</t>
        </is>
      </c>
    </row>
    <row r="3">
      <c r="A3" s="4" t="inlineStr">
        <is>
          <t>Beds/yr</t>
        </is>
      </c>
      <c r="C3" s="17">
        <f>'Revenue'!$B$8</f>
        <v/>
      </c>
    </row>
    <row r="4">
      <c r="A4" s="4" t="inlineStr">
        <is>
          <t>Revenue</t>
        </is>
      </c>
      <c r="C4" s="17">
        <f>'Revenue'!$B$8*'Control Panel'!$B$17</f>
        <v/>
      </c>
    </row>
    <row r="5">
      <c r="A5" s="4" t="inlineStr">
        <is>
          <t>Variable COGS (beds x marginal)</t>
        </is>
      </c>
      <c r="C5" s="17">
        <f>'Revenue'!$B$8*'Unit Cost'!$B$14</f>
        <v/>
      </c>
    </row>
    <row r="6">
      <c r="A6" s="4" t="inlineStr">
        <is>
          <t>Contribution</t>
        </is>
      </c>
      <c r="C6" s="17">
        <f>C4-C5</f>
        <v/>
      </c>
    </row>
    <row r="7">
      <c r="A7" s="4" t="inlineStr">
        <is>
          <t>Non-founder fixed base</t>
        </is>
      </c>
      <c r="C7" s="17">
        <f>'Assumptions &amp; Provenance'!$B$34</f>
        <v/>
      </c>
    </row>
    <row r="8">
      <c r="A8" s="4" t="inlineStr">
        <is>
          <t>Location rent (selected)</t>
        </is>
      </c>
      <c r="C8" s="17">
        <f>'Location &amp; Containerisation'!$B$9</f>
        <v/>
      </c>
    </row>
    <row r="9">
      <c r="A9" s="4" t="inlineStr">
        <is>
          <t>Staffing (if included)</t>
        </is>
      </c>
      <c r="C9" s="17">
        <f>'Wages &amp; People'!$B$19*'Wages &amp; People'!$B$18</f>
        <v/>
      </c>
    </row>
    <row r="10">
      <c r="A10" s="4" t="inlineStr">
        <is>
          <t>Surplus BEFORE founder time</t>
        </is>
      </c>
      <c r="C10" s="6">
        <f>C6-C7-C8-C9</f>
        <v/>
      </c>
      <c r="E10" s="7" t="inlineStr">
        <is>
          <t>fwd; Factory@500 = +69,430 (location rent 0 at Sydney)</t>
        </is>
      </c>
    </row>
    <row r="11">
      <c r="A11" s="4" t="inlineStr">
        <is>
          <t>Founder cost (FTE-scaled)</t>
        </is>
      </c>
      <c r="C11" s="17">
        <f>'Wages &amp; People'!$B$3</f>
        <v/>
      </c>
      <c r="D11" s="4" t="inlineStr">
        <is>
          <t>Surplus AFTER founder -&gt;</t>
        </is>
      </c>
      <c r="E11" s="6">
        <f>C10-C11</f>
        <v/>
      </c>
    </row>
    <row r="12">
      <c r="A12" s="7" t="inlineStr">
        <is>
          <t>(Control Panel dashboard 'surplus after founder' reads $E$11)</t>
        </is>
      </c>
    </row>
    <row r="14">
      <c r="A14" s="3" t="inlineStr">
        <is>
          <t>ACTUALS ANCHOR — Xero workpaper, NOT audited (the P0-1 waterfall)</t>
        </is>
      </c>
    </row>
    <row r="15">
      <c r="A15" s="4" t="inlineStr">
        <is>
          <t>Revenue received (cumulative)</t>
        </is>
      </c>
      <c r="C15" s="12">
        <f>'Assumptions &amp; Provenance'!$B$46</f>
        <v/>
      </c>
    </row>
    <row r="16">
      <c r="A16" s="4" t="inlineStr">
        <is>
          <t>less Goods expenses (single cash basis)</t>
        </is>
      </c>
      <c r="C16" s="12">
        <f>-'Assumptions &amp; Provenance'!$B$48</f>
        <v/>
      </c>
    </row>
    <row r="17">
      <c r="A17" s="4" t="inlineStr">
        <is>
          <t>≈ Operating surplus BEFORE founder time</t>
        </is>
      </c>
      <c r="C17" s="5">
        <f>C15+C16</f>
        <v/>
      </c>
      <c r="E17" s="7" t="inlineStr">
        <is>
          <t>≈ 340,585 (ties exactly: 649,710.79 - 309,126)</t>
        </is>
      </c>
    </row>
    <row r="18">
      <c r="A18" s="4" t="inlineStr">
        <is>
          <t>less founder time (FTE-scaled)</t>
        </is>
      </c>
      <c r="C18" s="12">
        <f>-'Wages &amp; People'!$B$3</f>
        <v/>
      </c>
    </row>
    <row r="19">
      <c r="A19" s="4" t="inlineStr">
        <is>
          <t>≈ Operating surplus AFTER founder time</t>
        </is>
      </c>
      <c r="C19" s="5">
        <f>C17+C18</f>
        <v/>
      </c>
      <c r="E19" s="7" t="inlineStr">
        <is>
          <t>≈ 256,585 at 100% FTE (NOT 151,585 — that endpoint was undocumented).</t>
        </is>
      </c>
    </row>
    <row r="20">
      <c r="A20" s="4" t="inlineStr">
        <is>
          <t>Revenue billed (memo)</t>
        </is>
      </c>
      <c r="C20" s="12">
        <f>'Assumptions &amp; Provenance'!$B$45</f>
        <v/>
      </c>
    </row>
    <row r="21">
      <c r="A21" s="4" t="inlineStr">
        <is>
          <t>AR Rotary (memo)</t>
        </is>
      </c>
      <c r="C21" s="12">
        <f>'Assumptions &amp; Provenance'!$B$47</f>
        <v/>
      </c>
    </row>
    <row r="23">
      <c r="A23" s="3" t="inlineStr">
        <is>
          <t>36-MONTH MONTHLY P&amp;L (drives Balance Sheet + Cashflow)</t>
        </is>
      </c>
    </row>
    <row r="24">
      <c r="A24" s="8" t="inlineStr">
        <is>
          <t>Month</t>
        </is>
      </c>
      <c r="B24" s="20" t="inlineStr">
        <is>
          <t>M1</t>
        </is>
      </c>
      <c r="C24" s="20" t="inlineStr">
        <is>
          <t>M2</t>
        </is>
      </c>
      <c r="D24" s="20" t="inlineStr">
        <is>
          <t>M3</t>
        </is>
      </c>
      <c r="E24" s="20" t="inlineStr">
        <is>
          <t>M4</t>
        </is>
      </c>
      <c r="F24" s="20" t="inlineStr">
        <is>
          <t>M5</t>
        </is>
      </c>
      <c r="G24" s="20" t="inlineStr">
        <is>
          <t>M6</t>
        </is>
      </c>
      <c r="H24" s="20" t="inlineStr">
        <is>
          <t>M7</t>
        </is>
      </c>
      <c r="I24" s="20" t="inlineStr">
        <is>
          <t>M8</t>
        </is>
      </c>
      <c r="J24" s="20" t="inlineStr">
        <is>
          <t>M9</t>
        </is>
      </c>
      <c r="K24" s="20" t="inlineStr">
        <is>
          <t>M10</t>
        </is>
      </c>
      <c r="L24" s="20" t="inlineStr">
        <is>
          <t>M11</t>
        </is>
      </c>
      <c r="M24" s="20" t="inlineStr">
        <is>
          <t>M12</t>
        </is>
      </c>
      <c r="N24" s="20" t="inlineStr">
        <is>
          <t>M13</t>
        </is>
      </c>
      <c r="O24" s="20" t="inlineStr">
        <is>
          <t>M14</t>
        </is>
      </c>
      <c r="P24" s="20" t="inlineStr">
        <is>
          <t>M15</t>
        </is>
      </c>
      <c r="Q24" s="20" t="inlineStr">
        <is>
          <t>M16</t>
        </is>
      </c>
      <c r="R24" s="20" t="inlineStr">
        <is>
          <t>M17</t>
        </is>
      </c>
      <c r="S24" s="20" t="inlineStr">
        <is>
          <t>M18</t>
        </is>
      </c>
      <c r="T24" s="20" t="inlineStr">
        <is>
          <t>M19</t>
        </is>
      </c>
      <c r="U24" s="20" t="inlineStr">
        <is>
          <t>M20</t>
        </is>
      </c>
      <c r="V24" s="20" t="inlineStr">
        <is>
          <t>M21</t>
        </is>
      </c>
      <c r="W24" s="20" t="inlineStr">
        <is>
          <t>M22</t>
        </is>
      </c>
      <c r="X24" s="20" t="inlineStr">
        <is>
          <t>M23</t>
        </is>
      </c>
      <c r="Y24" s="20" t="inlineStr">
        <is>
          <t>M24</t>
        </is>
      </c>
      <c r="Z24" s="20" t="inlineStr">
        <is>
          <t>M25</t>
        </is>
      </c>
      <c r="AA24" s="20" t="inlineStr">
        <is>
          <t>M26</t>
        </is>
      </c>
      <c r="AB24" s="20" t="inlineStr">
        <is>
          <t>M27</t>
        </is>
      </c>
      <c r="AC24" s="20" t="inlineStr">
        <is>
          <t>M28</t>
        </is>
      </c>
      <c r="AD24" s="20" t="inlineStr">
        <is>
          <t>M29</t>
        </is>
      </c>
      <c r="AE24" s="20" t="inlineStr">
        <is>
          <t>M30</t>
        </is>
      </c>
      <c r="AF24" s="20" t="inlineStr">
        <is>
          <t>M31</t>
        </is>
      </c>
      <c r="AG24" s="20" t="inlineStr">
        <is>
          <t>M32</t>
        </is>
      </c>
      <c r="AH24" s="20" t="inlineStr">
        <is>
          <t>M33</t>
        </is>
      </c>
      <c r="AI24" s="20" t="inlineStr">
        <is>
          <t>M34</t>
        </is>
      </c>
      <c r="AJ24" s="20" t="inlineStr">
        <is>
          <t>M35</t>
        </is>
      </c>
      <c r="AK24" s="20" t="inlineStr">
        <is>
          <t>M36</t>
        </is>
      </c>
    </row>
    <row r="25">
      <c r="A25" s="4" t="inlineStr">
        <is>
          <t>Beds (month)</t>
        </is>
      </c>
      <c r="B25" s="17">
        <f>('Revenue'!$B$8/12)*(1+'Control Panel'!$B$16)^INT((1-1)/12)</f>
        <v/>
      </c>
      <c r="C25" s="17">
        <f>('Revenue'!$B$8/12)*(1+'Control Panel'!$B$16)^INT((2-1)/12)</f>
        <v/>
      </c>
      <c r="D25" s="17">
        <f>('Revenue'!$B$8/12)*(1+'Control Panel'!$B$16)^INT((3-1)/12)</f>
        <v/>
      </c>
      <c r="E25" s="17">
        <f>('Revenue'!$B$8/12)*(1+'Control Panel'!$B$16)^INT((4-1)/12)</f>
        <v/>
      </c>
      <c r="F25" s="17">
        <f>('Revenue'!$B$8/12)*(1+'Control Panel'!$B$16)^INT((5-1)/12)</f>
        <v/>
      </c>
      <c r="G25" s="17">
        <f>('Revenue'!$B$8/12)*(1+'Control Panel'!$B$16)^INT((6-1)/12)</f>
        <v/>
      </c>
      <c r="H25" s="17">
        <f>('Revenue'!$B$8/12)*(1+'Control Panel'!$B$16)^INT((7-1)/12)</f>
        <v/>
      </c>
      <c r="I25" s="17">
        <f>('Revenue'!$B$8/12)*(1+'Control Panel'!$B$16)^INT((8-1)/12)</f>
        <v/>
      </c>
      <c r="J25" s="17">
        <f>('Revenue'!$B$8/12)*(1+'Control Panel'!$B$16)^INT((9-1)/12)</f>
        <v/>
      </c>
      <c r="K25" s="17">
        <f>('Revenue'!$B$8/12)*(1+'Control Panel'!$B$16)^INT((10-1)/12)</f>
        <v/>
      </c>
      <c r="L25" s="17">
        <f>('Revenue'!$B$8/12)*(1+'Control Panel'!$B$16)^INT((11-1)/12)</f>
        <v/>
      </c>
      <c r="M25" s="17">
        <f>('Revenue'!$B$8/12)*(1+'Control Panel'!$B$16)^INT((12-1)/12)</f>
        <v/>
      </c>
      <c r="N25" s="17">
        <f>('Revenue'!$B$8/12)*(1+'Control Panel'!$B$16)^INT((13-1)/12)</f>
        <v/>
      </c>
      <c r="O25" s="17">
        <f>('Revenue'!$B$8/12)*(1+'Control Panel'!$B$16)^INT((14-1)/12)</f>
        <v/>
      </c>
      <c r="P25" s="17">
        <f>('Revenue'!$B$8/12)*(1+'Control Panel'!$B$16)^INT((15-1)/12)</f>
        <v/>
      </c>
      <c r="Q25" s="17">
        <f>('Revenue'!$B$8/12)*(1+'Control Panel'!$B$16)^INT((16-1)/12)</f>
        <v/>
      </c>
      <c r="R25" s="17">
        <f>('Revenue'!$B$8/12)*(1+'Control Panel'!$B$16)^INT((17-1)/12)</f>
        <v/>
      </c>
      <c r="S25" s="17">
        <f>('Revenue'!$B$8/12)*(1+'Control Panel'!$B$16)^INT((18-1)/12)</f>
        <v/>
      </c>
      <c r="T25" s="17">
        <f>('Revenue'!$B$8/12)*(1+'Control Panel'!$B$16)^INT((19-1)/12)</f>
        <v/>
      </c>
      <c r="U25" s="17">
        <f>('Revenue'!$B$8/12)*(1+'Control Panel'!$B$16)^INT((20-1)/12)</f>
        <v/>
      </c>
      <c r="V25" s="17">
        <f>('Revenue'!$B$8/12)*(1+'Control Panel'!$B$16)^INT((21-1)/12)</f>
        <v/>
      </c>
      <c r="W25" s="17">
        <f>('Revenue'!$B$8/12)*(1+'Control Panel'!$B$16)^INT((22-1)/12)</f>
        <v/>
      </c>
      <c r="X25" s="17">
        <f>('Revenue'!$B$8/12)*(1+'Control Panel'!$B$16)^INT((23-1)/12)</f>
        <v/>
      </c>
      <c r="Y25" s="17">
        <f>('Revenue'!$B$8/12)*(1+'Control Panel'!$B$16)^INT((24-1)/12)</f>
        <v/>
      </c>
      <c r="Z25" s="17">
        <f>('Revenue'!$B$8/12)*(1+'Control Panel'!$B$16)^INT((25-1)/12)</f>
        <v/>
      </c>
      <c r="AA25" s="17">
        <f>('Revenue'!$B$8/12)*(1+'Control Panel'!$B$16)^INT((26-1)/12)</f>
        <v/>
      </c>
      <c r="AB25" s="17">
        <f>('Revenue'!$B$8/12)*(1+'Control Panel'!$B$16)^INT((27-1)/12)</f>
        <v/>
      </c>
      <c r="AC25" s="17">
        <f>('Revenue'!$B$8/12)*(1+'Control Panel'!$B$16)^INT((28-1)/12)</f>
        <v/>
      </c>
      <c r="AD25" s="17">
        <f>('Revenue'!$B$8/12)*(1+'Control Panel'!$B$16)^INT((29-1)/12)</f>
        <v/>
      </c>
      <c r="AE25" s="17">
        <f>('Revenue'!$B$8/12)*(1+'Control Panel'!$B$16)^INT((30-1)/12)</f>
        <v/>
      </c>
      <c r="AF25" s="17">
        <f>('Revenue'!$B$8/12)*(1+'Control Panel'!$B$16)^INT((31-1)/12)</f>
        <v/>
      </c>
      <c r="AG25" s="17">
        <f>('Revenue'!$B$8/12)*(1+'Control Panel'!$B$16)^INT((32-1)/12)</f>
        <v/>
      </c>
      <c r="AH25" s="17">
        <f>('Revenue'!$B$8/12)*(1+'Control Panel'!$B$16)^INT((33-1)/12)</f>
        <v/>
      </c>
      <c r="AI25" s="17">
        <f>('Revenue'!$B$8/12)*(1+'Control Panel'!$B$16)^INT((34-1)/12)</f>
        <v/>
      </c>
      <c r="AJ25" s="17">
        <f>('Revenue'!$B$8/12)*(1+'Control Panel'!$B$16)^INT((35-1)/12)</f>
        <v/>
      </c>
      <c r="AK25" s="17">
        <f>('Revenue'!$B$8/12)*(1+'Control Panel'!$B$16)^INT((36-1)/12)</f>
        <v/>
      </c>
    </row>
    <row r="26">
      <c r="A26" s="4" t="inlineStr">
        <is>
          <t>Revenue</t>
        </is>
      </c>
      <c r="B26" s="17">
        <f>B25*'Control Panel'!$B$17</f>
        <v/>
      </c>
      <c r="C26" s="17">
        <f>C25*'Control Panel'!$B$17</f>
        <v/>
      </c>
      <c r="D26" s="17">
        <f>D25*'Control Panel'!$B$17</f>
        <v/>
      </c>
      <c r="E26" s="17">
        <f>E25*'Control Panel'!$B$17</f>
        <v/>
      </c>
      <c r="F26" s="17">
        <f>F25*'Control Panel'!$B$17</f>
        <v/>
      </c>
      <c r="G26" s="17">
        <f>G25*'Control Panel'!$B$17</f>
        <v/>
      </c>
      <c r="H26" s="17">
        <f>H25*'Control Panel'!$B$17</f>
        <v/>
      </c>
      <c r="I26" s="17">
        <f>I25*'Control Panel'!$B$17</f>
        <v/>
      </c>
      <c r="J26" s="17">
        <f>J25*'Control Panel'!$B$17</f>
        <v/>
      </c>
      <c r="K26" s="17">
        <f>K25*'Control Panel'!$B$17</f>
        <v/>
      </c>
      <c r="L26" s="17">
        <f>L25*'Control Panel'!$B$17</f>
        <v/>
      </c>
      <c r="M26" s="17">
        <f>M25*'Control Panel'!$B$17</f>
        <v/>
      </c>
      <c r="N26" s="17">
        <f>N25*'Control Panel'!$B$17</f>
        <v/>
      </c>
      <c r="O26" s="17">
        <f>O25*'Control Panel'!$B$17</f>
        <v/>
      </c>
      <c r="P26" s="17">
        <f>P25*'Control Panel'!$B$17</f>
        <v/>
      </c>
      <c r="Q26" s="17">
        <f>Q25*'Control Panel'!$B$17</f>
        <v/>
      </c>
      <c r="R26" s="17">
        <f>R25*'Control Panel'!$B$17</f>
        <v/>
      </c>
      <c r="S26" s="17">
        <f>S25*'Control Panel'!$B$17</f>
        <v/>
      </c>
      <c r="T26" s="17">
        <f>T25*'Control Panel'!$B$17</f>
        <v/>
      </c>
      <c r="U26" s="17">
        <f>U25*'Control Panel'!$B$17</f>
        <v/>
      </c>
      <c r="V26" s="17">
        <f>V25*'Control Panel'!$B$17</f>
        <v/>
      </c>
      <c r="W26" s="17">
        <f>W25*'Control Panel'!$B$17</f>
        <v/>
      </c>
      <c r="X26" s="17">
        <f>X25*'Control Panel'!$B$17</f>
        <v/>
      </c>
      <c r="Y26" s="17">
        <f>Y25*'Control Panel'!$B$17</f>
        <v/>
      </c>
      <c r="Z26" s="17">
        <f>Z25*'Control Panel'!$B$17</f>
        <v/>
      </c>
      <c r="AA26" s="17">
        <f>AA25*'Control Panel'!$B$17</f>
        <v/>
      </c>
      <c r="AB26" s="17">
        <f>AB25*'Control Panel'!$B$17</f>
        <v/>
      </c>
      <c r="AC26" s="17">
        <f>AC25*'Control Panel'!$B$17</f>
        <v/>
      </c>
      <c r="AD26" s="17">
        <f>AD25*'Control Panel'!$B$17</f>
        <v/>
      </c>
      <c r="AE26" s="17">
        <f>AE25*'Control Panel'!$B$17</f>
        <v/>
      </c>
      <c r="AF26" s="17">
        <f>AF25*'Control Panel'!$B$17</f>
        <v/>
      </c>
      <c r="AG26" s="17">
        <f>AG25*'Control Panel'!$B$17</f>
        <v/>
      </c>
      <c r="AH26" s="17">
        <f>AH25*'Control Panel'!$B$17</f>
        <v/>
      </c>
      <c r="AI26" s="17">
        <f>AI25*'Control Panel'!$B$17</f>
        <v/>
      </c>
      <c r="AJ26" s="17">
        <f>AJ25*'Control Panel'!$B$17</f>
        <v/>
      </c>
      <c r="AK26" s="17">
        <f>AK25*'Control Panel'!$B$17</f>
        <v/>
      </c>
    </row>
    <row r="27">
      <c r="A27" s="4" t="inlineStr">
        <is>
          <t>COGS (variable)</t>
        </is>
      </c>
      <c r="B27" s="17">
        <f>B25*'Unit Cost'!$B$14</f>
        <v/>
      </c>
      <c r="C27" s="17">
        <f>C25*'Unit Cost'!$B$14</f>
        <v/>
      </c>
      <c r="D27" s="17">
        <f>D25*'Unit Cost'!$B$14</f>
        <v/>
      </c>
      <c r="E27" s="17">
        <f>E25*'Unit Cost'!$B$14</f>
        <v/>
      </c>
      <c r="F27" s="17">
        <f>F25*'Unit Cost'!$B$14</f>
        <v/>
      </c>
      <c r="G27" s="17">
        <f>G25*'Unit Cost'!$B$14</f>
        <v/>
      </c>
      <c r="H27" s="17">
        <f>H25*'Unit Cost'!$B$14</f>
        <v/>
      </c>
      <c r="I27" s="17">
        <f>I25*'Unit Cost'!$B$14</f>
        <v/>
      </c>
      <c r="J27" s="17">
        <f>J25*'Unit Cost'!$B$14</f>
        <v/>
      </c>
      <c r="K27" s="17">
        <f>K25*'Unit Cost'!$B$14</f>
        <v/>
      </c>
      <c r="L27" s="17">
        <f>L25*'Unit Cost'!$B$14</f>
        <v/>
      </c>
      <c r="M27" s="17">
        <f>M25*'Unit Cost'!$B$14</f>
        <v/>
      </c>
      <c r="N27" s="17">
        <f>N25*'Unit Cost'!$B$14</f>
        <v/>
      </c>
      <c r="O27" s="17">
        <f>O25*'Unit Cost'!$B$14</f>
        <v/>
      </c>
      <c r="P27" s="17">
        <f>P25*'Unit Cost'!$B$14</f>
        <v/>
      </c>
      <c r="Q27" s="17">
        <f>Q25*'Unit Cost'!$B$14</f>
        <v/>
      </c>
      <c r="R27" s="17">
        <f>R25*'Unit Cost'!$B$14</f>
        <v/>
      </c>
      <c r="S27" s="17">
        <f>S25*'Unit Cost'!$B$14</f>
        <v/>
      </c>
      <c r="T27" s="17">
        <f>T25*'Unit Cost'!$B$14</f>
        <v/>
      </c>
      <c r="U27" s="17">
        <f>U25*'Unit Cost'!$B$14</f>
        <v/>
      </c>
      <c r="V27" s="17">
        <f>V25*'Unit Cost'!$B$14</f>
        <v/>
      </c>
      <c r="W27" s="17">
        <f>W25*'Unit Cost'!$B$14</f>
        <v/>
      </c>
      <c r="X27" s="17">
        <f>X25*'Unit Cost'!$B$14</f>
        <v/>
      </c>
      <c r="Y27" s="17">
        <f>Y25*'Unit Cost'!$B$14</f>
        <v/>
      </c>
      <c r="Z27" s="17">
        <f>Z25*'Unit Cost'!$B$14</f>
        <v/>
      </c>
      <c r="AA27" s="17">
        <f>AA25*'Unit Cost'!$B$14</f>
        <v/>
      </c>
      <c r="AB27" s="17">
        <f>AB25*'Unit Cost'!$B$14</f>
        <v/>
      </c>
      <c r="AC27" s="17">
        <f>AC25*'Unit Cost'!$B$14</f>
        <v/>
      </c>
      <c r="AD27" s="17">
        <f>AD25*'Unit Cost'!$B$14</f>
        <v/>
      </c>
      <c r="AE27" s="17">
        <f>AE25*'Unit Cost'!$B$14</f>
        <v/>
      </c>
      <c r="AF27" s="17">
        <f>AF25*'Unit Cost'!$B$14</f>
        <v/>
      </c>
      <c r="AG27" s="17">
        <f>AG25*'Unit Cost'!$B$14</f>
        <v/>
      </c>
      <c r="AH27" s="17">
        <f>AH25*'Unit Cost'!$B$14</f>
        <v/>
      </c>
      <c r="AI27" s="17">
        <f>AI25*'Unit Cost'!$B$14</f>
        <v/>
      </c>
      <c r="AJ27" s="17">
        <f>AJ25*'Unit Cost'!$B$14</f>
        <v/>
      </c>
      <c r="AK27" s="17">
        <f>AK25*'Unit Cost'!$B$14</f>
        <v/>
      </c>
    </row>
    <row r="28">
      <c r="A28" s="4" t="inlineStr">
        <is>
          <t>Gross profit</t>
        </is>
      </c>
      <c r="B28" s="17">
        <f>B26-B27</f>
        <v/>
      </c>
      <c r="C28" s="17">
        <f>C26-C27</f>
        <v/>
      </c>
      <c r="D28" s="17">
        <f>D26-D27</f>
        <v/>
      </c>
      <c r="E28" s="17">
        <f>E26-E27</f>
        <v/>
      </c>
      <c r="F28" s="17">
        <f>F26-F27</f>
        <v/>
      </c>
      <c r="G28" s="17">
        <f>G26-G27</f>
        <v/>
      </c>
      <c r="H28" s="17">
        <f>H26-H27</f>
        <v/>
      </c>
      <c r="I28" s="17">
        <f>I26-I27</f>
        <v/>
      </c>
      <c r="J28" s="17">
        <f>J26-J27</f>
        <v/>
      </c>
      <c r="K28" s="17">
        <f>K26-K27</f>
        <v/>
      </c>
      <c r="L28" s="17">
        <f>L26-L27</f>
        <v/>
      </c>
      <c r="M28" s="17">
        <f>M26-M27</f>
        <v/>
      </c>
      <c r="N28" s="17">
        <f>N26-N27</f>
        <v/>
      </c>
      <c r="O28" s="17">
        <f>O26-O27</f>
        <v/>
      </c>
      <c r="P28" s="17">
        <f>P26-P27</f>
        <v/>
      </c>
      <c r="Q28" s="17">
        <f>Q26-Q27</f>
        <v/>
      </c>
      <c r="R28" s="17">
        <f>R26-R27</f>
        <v/>
      </c>
      <c r="S28" s="17">
        <f>S26-S27</f>
        <v/>
      </c>
      <c r="T28" s="17">
        <f>T26-T27</f>
        <v/>
      </c>
      <c r="U28" s="17">
        <f>U26-U27</f>
        <v/>
      </c>
      <c r="V28" s="17">
        <f>V26-V27</f>
        <v/>
      </c>
      <c r="W28" s="17">
        <f>W26-W27</f>
        <v/>
      </c>
      <c r="X28" s="17">
        <f>X26-X27</f>
        <v/>
      </c>
      <c r="Y28" s="17">
        <f>Y26-Y27</f>
        <v/>
      </c>
      <c r="Z28" s="17">
        <f>Z26-Z27</f>
        <v/>
      </c>
      <c r="AA28" s="17">
        <f>AA26-AA27</f>
        <v/>
      </c>
      <c r="AB28" s="17">
        <f>AB26-AB27</f>
        <v/>
      </c>
      <c r="AC28" s="17">
        <f>AC26-AC27</f>
        <v/>
      </c>
      <c r="AD28" s="17">
        <f>AD26-AD27</f>
        <v/>
      </c>
      <c r="AE28" s="17">
        <f>AE26-AE27</f>
        <v/>
      </c>
      <c r="AF28" s="17">
        <f>AF26-AF27</f>
        <v/>
      </c>
      <c r="AG28" s="17">
        <f>AG26-AG27</f>
        <v/>
      </c>
      <c r="AH28" s="17">
        <f>AH26-AH27</f>
        <v/>
      </c>
      <c r="AI28" s="17">
        <f>AI26-AI27</f>
        <v/>
      </c>
      <c r="AJ28" s="17">
        <f>AJ26-AJ27</f>
        <v/>
      </c>
      <c r="AK28" s="17">
        <f>AK26-AK27</f>
        <v/>
      </c>
    </row>
    <row r="29">
      <c r="A29" s="4" t="inlineStr">
        <is>
          <t>Opex (fixed+rent+staffing)/mo</t>
        </is>
      </c>
      <c r="B29" s="17">
        <f>('Assumptions &amp; Provenance'!$B$34+'Location &amp; Containerisation'!$B$9+'Wages &amp; People'!$B$19*'Wages &amp; People'!$B$18)/12</f>
        <v/>
      </c>
      <c r="C29" s="17">
        <f>('Assumptions &amp; Provenance'!$B$34+'Location &amp; Containerisation'!$B$9+'Wages &amp; People'!$B$19*'Wages &amp; People'!$B$18)/12</f>
        <v/>
      </c>
      <c r="D29" s="17">
        <f>('Assumptions &amp; Provenance'!$B$34+'Location &amp; Containerisation'!$B$9+'Wages &amp; People'!$B$19*'Wages &amp; People'!$B$18)/12</f>
        <v/>
      </c>
      <c r="E29" s="17">
        <f>('Assumptions &amp; Provenance'!$B$34+'Location &amp; Containerisation'!$B$9+'Wages &amp; People'!$B$19*'Wages &amp; People'!$B$18)/12</f>
        <v/>
      </c>
      <c r="F29" s="17">
        <f>('Assumptions &amp; Provenance'!$B$34+'Location &amp; Containerisation'!$B$9+'Wages &amp; People'!$B$19*'Wages &amp; People'!$B$18)/12</f>
        <v/>
      </c>
      <c r="G29" s="17">
        <f>('Assumptions &amp; Provenance'!$B$34+'Location &amp; Containerisation'!$B$9+'Wages &amp; People'!$B$19*'Wages &amp; People'!$B$18)/12</f>
        <v/>
      </c>
      <c r="H29" s="17">
        <f>('Assumptions &amp; Provenance'!$B$34+'Location &amp; Containerisation'!$B$9+'Wages &amp; People'!$B$19*'Wages &amp; People'!$B$18)/12</f>
        <v/>
      </c>
      <c r="I29" s="17">
        <f>('Assumptions &amp; Provenance'!$B$34+'Location &amp; Containerisation'!$B$9+'Wages &amp; People'!$B$19*'Wages &amp; People'!$B$18)/12</f>
        <v/>
      </c>
      <c r="J29" s="17">
        <f>('Assumptions &amp; Provenance'!$B$34+'Location &amp; Containerisation'!$B$9+'Wages &amp; People'!$B$19*'Wages &amp; People'!$B$18)/12</f>
        <v/>
      </c>
      <c r="K29" s="17">
        <f>('Assumptions &amp; Provenance'!$B$34+'Location &amp; Containerisation'!$B$9+'Wages &amp; People'!$B$19*'Wages &amp; People'!$B$18)/12</f>
        <v/>
      </c>
      <c r="L29" s="17">
        <f>('Assumptions &amp; Provenance'!$B$34+'Location &amp; Containerisation'!$B$9+'Wages &amp; People'!$B$19*'Wages &amp; People'!$B$18)/12</f>
        <v/>
      </c>
      <c r="M29" s="17">
        <f>('Assumptions &amp; Provenance'!$B$34+'Location &amp; Containerisation'!$B$9+'Wages &amp; People'!$B$19*'Wages &amp; People'!$B$18)/12</f>
        <v/>
      </c>
      <c r="N29" s="17">
        <f>('Assumptions &amp; Provenance'!$B$34+'Location &amp; Containerisation'!$B$9+'Wages &amp; People'!$B$19*'Wages &amp; People'!$B$18)/12</f>
        <v/>
      </c>
      <c r="O29" s="17">
        <f>('Assumptions &amp; Provenance'!$B$34+'Location &amp; Containerisation'!$B$9+'Wages &amp; People'!$B$19*'Wages &amp; People'!$B$18)/12</f>
        <v/>
      </c>
      <c r="P29" s="17">
        <f>('Assumptions &amp; Provenance'!$B$34+'Location &amp; Containerisation'!$B$9+'Wages &amp; People'!$B$19*'Wages &amp; People'!$B$18)/12</f>
        <v/>
      </c>
      <c r="Q29" s="17">
        <f>('Assumptions &amp; Provenance'!$B$34+'Location &amp; Containerisation'!$B$9+'Wages &amp; People'!$B$19*'Wages &amp; People'!$B$18)/12</f>
        <v/>
      </c>
      <c r="R29" s="17">
        <f>('Assumptions &amp; Provenance'!$B$34+'Location &amp; Containerisation'!$B$9+'Wages &amp; People'!$B$19*'Wages &amp; People'!$B$18)/12</f>
        <v/>
      </c>
      <c r="S29" s="17">
        <f>('Assumptions &amp; Provenance'!$B$34+'Location &amp; Containerisation'!$B$9+'Wages &amp; People'!$B$19*'Wages &amp; People'!$B$18)/12</f>
        <v/>
      </c>
      <c r="T29" s="17">
        <f>('Assumptions &amp; Provenance'!$B$34+'Location &amp; Containerisation'!$B$9+'Wages &amp; People'!$B$19*'Wages &amp; People'!$B$18)/12</f>
        <v/>
      </c>
      <c r="U29" s="17">
        <f>('Assumptions &amp; Provenance'!$B$34+'Location &amp; Containerisation'!$B$9+'Wages &amp; People'!$B$19*'Wages &amp; People'!$B$18)/12</f>
        <v/>
      </c>
      <c r="V29" s="17">
        <f>('Assumptions &amp; Provenance'!$B$34+'Location &amp; Containerisation'!$B$9+'Wages &amp; People'!$B$19*'Wages &amp; People'!$B$18)/12</f>
        <v/>
      </c>
      <c r="W29" s="17">
        <f>('Assumptions &amp; Provenance'!$B$34+'Location &amp; Containerisation'!$B$9+'Wages &amp; People'!$B$19*'Wages &amp; People'!$B$18)/12</f>
        <v/>
      </c>
      <c r="X29" s="17">
        <f>('Assumptions &amp; Provenance'!$B$34+'Location &amp; Containerisation'!$B$9+'Wages &amp; People'!$B$19*'Wages &amp; People'!$B$18)/12</f>
        <v/>
      </c>
      <c r="Y29" s="17">
        <f>('Assumptions &amp; Provenance'!$B$34+'Location &amp; Containerisation'!$B$9+'Wages &amp; People'!$B$19*'Wages &amp; People'!$B$18)/12</f>
        <v/>
      </c>
      <c r="Z29" s="17">
        <f>('Assumptions &amp; Provenance'!$B$34+'Location &amp; Containerisation'!$B$9+'Wages &amp; People'!$B$19*'Wages &amp; People'!$B$18)/12</f>
        <v/>
      </c>
      <c r="AA29" s="17">
        <f>('Assumptions &amp; Provenance'!$B$34+'Location &amp; Containerisation'!$B$9+'Wages &amp; People'!$B$19*'Wages &amp; People'!$B$18)/12</f>
        <v/>
      </c>
      <c r="AB29" s="17">
        <f>('Assumptions &amp; Provenance'!$B$34+'Location &amp; Containerisation'!$B$9+'Wages &amp; People'!$B$19*'Wages &amp; People'!$B$18)/12</f>
        <v/>
      </c>
      <c r="AC29" s="17">
        <f>('Assumptions &amp; Provenance'!$B$34+'Location &amp; Containerisation'!$B$9+'Wages &amp; People'!$B$19*'Wages &amp; People'!$B$18)/12</f>
        <v/>
      </c>
      <c r="AD29" s="17">
        <f>('Assumptions &amp; Provenance'!$B$34+'Location &amp; Containerisation'!$B$9+'Wages &amp; People'!$B$19*'Wages &amp; People'!$B$18)/12</f>
        <v/>
      </c>
      <c r="AE29" s="17">
        <f>('Assumptions &amp; Provenance'!$B$34+'Location &amp; Containerisation'!$B$9+'Wages &amp; People'!$B$19*'Wages &amp; People'!$B$18)/12</f>
        <v/>
      </c>
      <c r="AF29" s="17">
        <f>('Assumptions &amp; Provenance'!$B$34+'Location &amp; Containerisation'!$B$9+'Wages &amp; People'!$B$19*'Wages &amp; People'!$B$18)/12</f>
        <v/>
      </c>
      <c r="AG29" s="17">
        <f>('Assumptions &amp; Provenance'!$B$34+'Location &amp; Containerisation'!$B$9+'Wages &amp; People'!$B$19*'Wages &amp; People'!$B$18)/12</f>
        <v/>
      </c>
      <c r="AH29" s="17">
        <f>('Assumptions &amp; Provenance'!$B$34+'Location &amp; Containerisation'!$B$9+'Wages &amp; People'!$B$19*'Wages &amp; People'!$B$18)/12</f>
        <v/>
      </c>
      <c r="AI29" s="17">
        <f>('Assumptions &amp; Provenance'!$B$34+'Location &amp; Containerisation'!$B$9+'Wages &amp; People'!$B$19*'Wages &amp; People'!$B$18)/12</f>
        <v/>
      </c>
      <c r="AJ29" s="17">
        <f>('Assumptions &amp; Provenance'!$B$34+'Location &amp; Containerisation'!$B$9+'Wages &amp; People'!$B$19*'Wages &amp; People'!$B$18)/12</f>
        <v/>
      </c>
      <c r="AK29" s="17">
        <f>('Assumptions &amp; Provenance'!$B$34+'Location &amp; Containerisation'!$B$9+'Wages &amp; People'!$B$19*'Wages &amp; People'!$B$18)/12</f>
        <v/>
      </c>
    </row>
    <row r="30">
      <c r="A30" s="4" t="inlineStr">
        <is>
          <t>Founder cost /mo</t>
        </is>
      </c>
      <c r="B30" s="17">
        <f>'Wages &amp; People'!$B$3/12</f>
        <v/>
      </c>
      <c r="C30" s="17">
        <f>'Wages &amp; People'!$B$3/12</f>
        <v/>
      </c>
      <c r="D30" s="17">
        <f>'Wages &amp; People'!$B$3/12</f>
        <v/>
      </c>
      <c r="E30" s="17">
        <f>'Wages &amp; People'!$B$3/12</f>
        <v/>
      </c>
      <c r="F30" s="17">
        <f>'Wages &amp; People'!$B$3/12</f>
        <v/>
      </c>
      <c r="G30" s="17">
        <f>'Wages &amp; People'!$B$3/12</f>
        <v/>
      </c>
      <c r="H30" s="17">
        <f>'Wages &amp; People'!$B$3/12</f>
        <v/>
      </c>
      <c r="I30" s="17">
        <f>'Wages &amp; People'!$B$3/12</f>
        <v/>
      </c>
      <c r="J30" s="17">
        <f>'Wages &amp; People'!$B$3/12</f>
        <v/>
      </c>
      <c r="K30" s="17">
        <f>'Wages &amp; People'!$B$3/12</f>
        <v/>
      </c>
      <c r="L30" s="17">
        <f>'Wages &amp; People'!$B$3/12</f>
        <v/>
      </c>
      <c r="M30" s="17">
        <f>'Wages &amp; People'!$B$3/12</f>
        <v/>
      </c>
      <c r="N30" s="17">
        <f>'Wages &amp; People'!$B$3/12</f>
        <v/>
      </c>
      <c r="O30" s="17">
        <f>'Wages &amp; People'!$B$3/12</f>
        <v/>
      </c>
      <c r="P30" s="17">
        <f>'Wages &amp; People'!$B$3/12</f>
        <v/>
      </c>
      <c r="Q30" s="17">
        <f>'Wages &amp; People'!$B$3/12</f>
        <v/>
      </c>
      <c r="R30" s="17">
        <f>'Wages &amp; People'!$B$3/12</f>
        <v/>
      </c>
      <c r="S30" s="17">
        <f>'Wages &amp; People'!$B$3/12</f>
        <v/>
      </c>
      <c r="T30" s="17">
        <f>'Wages &amp; People'!$B$3/12</f>
        <v/>
      </c>
      <c r="U30" s="17">
        <f>'Wages &amp; People'!$B$3/12</f>
        <v/>
      </c>
      <c r="V30" s="17">
        <f>'Wages &amp; People'!$B$3/12</f>
        <v/>
      </c>
      <c r="W30" s="17">
        <f>'Wages &amp; People'!$B$3/12</f>
        <v/>
      </c>
      <c r="X30" s="17">
        <f>'Wages &amp; People'!$B$3/12</f>
        <v/>
      </c>
      <c r="Y30" s="17">
        <f>'Wages &amp; People'!$B$3/12</f>
        <v/>
      </c>
      <c r="Z30" s="17">
        <f>'Wages &amp; People'!$B$3/12</f>
        <v/>
      </c>
      <c r="AA30" s="17">
        <f>'Wages &amp; People'!$B$3/12</f>
        <v/>
      </c>
      <c r="AB30" s="17">
        <f>'Wages &amp; People'!$B$3/12</f>
        <v/>
      </c>
      <c r="AC30" s="17">
        <f>'Wages &amp; People'!$B$3/12</f>
        <v/>
      </c>
      <c r="AD30" s="17">
        <f>'Wages &amp; People'!$B$3/12</f>
        <v/>
      </c>
      <c r="AE30" s="17">
        <f>'Wages &amp; People'!$B$3/12</f>
        <v/>
      </c>
      <c r="AF30" s="17">
        <f>'Wages &amp; People'!$B$3/12</f>
        <v/>
      </c>
      <c r="AG30" s="17">
        <f>'Wages &amp; People'!$B$3/12</f>
        <v/>
      </c>
      <c r="AH30" s="17">
        <f>'Wages &amp; People'!$B$3/12</f>
        <v/>
      </c>
      <c r="AI30" s="17">
        <f>'Wages &amp; People'!$B$3/12</f>
        <v/>
      </c>
      <c r="AJ30" s="17">
        <f>'Wages &amp; People'!$B$3/12</f>
        <v/>
      </c>
      <c r="AK30" s="17">
        <f>'Wages &amp; People'!$B$3/12</f>
        <v/>
      </c>
    </row>
    <row r="31">
      <c r="A31" s="4" t="inlineStr">
        <is>
          <t>EBITDA</t>
        </is>
      </c>
      <c r="B31" s="17">
        <f>B28-B29-B30</f>
        <v/>
      </c>
      <c r="C31" s="17">
        <f>C28-C29-C30</f>
        <v/>
      </c>
      <c r="D31" s="17">
        <f>D28-D29-D30</f>
        <v/>
      </c>
      <c r="E31" s="17">
        <f>E28-E29-E30</f>
        <v/>
      </c>
      <c r="F31" s="17">
        <f>F28-F29-F30</f>
        <v/>
      </c>
      <c r="G31" s="17">
        <f>G28-G29-G30</f>
        <v/>
      </c>
      <c r="H31" s="17">
        <f>H28-H29-H30</f>
        <v/>
      </c>
      <c r="I31" s="17">
        <f>I28-I29-I30</f>
        <v/>
      </c>
      <c r="J31" s="17">
        <f>J28-J29-J30</f>
        <v/>
      </c>
      <c r="K31" s="17">
        <f>K28-K29-K30</f>
        <v/>
      </c>
      <c r="L31" s="17">
        <f>L28-L29-L30</f>
        <v/>
      </c>
      <c r="M31" s="17">
        <f>M28-M29-M30</f>
        <v/>
      </c>
      <c r="N31" s="17">
        <f>N28-N29-N30</f>
        <v/>
      </c>
      <c r="O31" s="17">
        <f>O28-O29-O30</f>
        <v/>
      </c>
      <c r="P31" s="17">
        <f>P28-P29-P30</f>
        <v/>
      </c>
      <c r="Q31" s="17">
        <f>Q28-Q29-Q30</f>
        <v/>
      </c>
      <c r="R31" s="17">
        <f>R28-R29-R30</f>
        <v/>
      </c>
      <c r="S31" s="17">
        <f>S28-S29-S30</f>
        <v/>
      </c>
      <c r="T31" s="17">
        <f>T28-T29-T30</f>
        <v/>
      </c>
      <c r="U31" s="17">
        <f>U28-U29-U30</f>
        <v/>
      </c>
      <c r="V31" s="17">
        <f>V28-V29-V30</f>
        <v/>
      </c>
      <c r="W31" s="17">
        <f>W28-W29-W30</f>
        <v/>
      </c>
      <c r="X31" s="17">
        <f>X28-X29-X30</f>
        <v/>
      </c>
      <c r="Y31" s="17">
        <f>Y28-Y29-Y30</f>
        <v/>
      </c>
      <c r="Z31" s="17">
        <f>Z28-Z29-Z30</f>
        <v/>
      </c>
      <c r="AA31" s="17">
        <f>AA28-AA29-AA30</f>
        <v/>
      </c>
      <c r="AB31" s="17">
        <f>AB28-AB29-AB30</f>
        <v/>
      </c>
      <c r="AC31" s="17">
        <f>AC28-AC29-AC30</f>
        <v/>
      </c>
      <c r="AD31" s="17">
        <f>AD28-AD29-AD30</f>
        <v/>
      </c>
      <c r="AE31" s="17">
        <f>AE28-AE29-AE30</f>
        <v/>
      </c>
      <c r="AF31" s="17">
        <f>AF28-AF29-AF30</f>
        <v/>
      </c>
      <c r="AG31" s="17">
        <f>AG28-AG29-AG30</f>
        <v/>
      </c>
      <c r="AH31" s="17">
        <f>AH28-AH29-AH30</f>
        <v/>
      </c>
      <c r="AI31" s="17">
        <f>AI28-AI29-AI30</f>
        <v/>
      </c>
      <c r="AJ31" s="17">
        <f>AJ28-AJ29-AJ30</f>
        <v/>
      </c>
      <c r="AK31" s="17">
        <f>AK28-AK29-AK30</f>
        <v/>
      </c>
    </row>
    <row r="32">
      <c r="A32" s="4" t="inlineStr">
        <is>
          <t>Depreciation</t>
        </is>
      </c>
      <c r="B32" s="17">
        <f>'Investment &amp; Financing'!$B$22</f>
        <v/>
      </c>
      <c r="C32" s="17">
        <f>'Investment &amp; Financing'!$B$22</f>
        <v/>
      </c>
      <c r="D32" s="17">
        <f>'Investment &amp; Financing'!$B$22</f>
        <v/>
      </c>
      <c r="E32" s="17">
        <f>'Investment &amp; Financing'!$B$22</f>
        <v/>
      </c>
      <c r="F32" s="17">
        <f>'Investment &amp; Financing'!$B$22</f>
        <v/>
      </c>
      <c r="G32" s="17">
        <f>'Investment &amp; Financing'!$B$22</f>
        <v/>
      </c>
      <c r="H32" s="17">
        <f>'Investment &amp; Financing'!$B$22</f>
        <v/>
      </c>
      <c r="I32" s="17">
        <f>'Investment &amp; Financing'!$B$22</f>
        <v/>
      </c>
      <c r="J32" s="17">
        <f>'Investment &amp; Financing'!$B$22</f>
        <v/>
      </c>
      <c r="K32" s="17">
        <f>'Investment &amp; Financing'!$B$22</f>
        <v/>
      </c>
      <c r="L32" s="17">
        <f>'Investment &amp; Financing'!$B$22</f>
        <v/>
      </c>
      <c r="M32" s="17">
        <f>'Investment &amp; Financing'!$B$22</f>
        <v/>
      </c>
      <c r="N32" s="17">
        <f>'Investment &amp; Financing'!$B$22</f>
        <v/>
      </c>
      <c r="O32" s="17">
        <f>'Investment &amp; Financing'!$B$22</f>
        <v/>
      </c>
      <c r="P32" s="17">
        <f>'Investment &amp; Financing'!$B$22</f>
        <v/>
      </c>
      <c r="Q32" s="17">
        <f>'Investment &amp; Financing'!$B$22</f>
        <v/>
      </c>
      <c r="R32" s="17">
        <f>'Investment &amp; Financing'!$B$22</f>
        <v/>
      </c>
      <c r="S32" s="17">
        <f>'Investment &amp; Financing'!$B$22</f>
        <v/>
      </c>
      <c r="T32" s="17">
        <f>'Investment &amp; Financing'!$B$22</f>
        <v/>
      </c>
      <c r="U32" s="17">
        <f>'Investment &amp; Financing'!$B$22</f>
        <v/>
      </c>
      <c r="V32" s="17">
        <f>'Investment &amp; Financing'!$B$22</f>
        <v/>
      </c>
      <c r="W32" s="17">
        <f>'Investment &amp; Financing'!$B$22</f>
        <v/>
      </c>
      <c r="X32" s="17">
        <f>'Investment &amp; Financing'!$B$22</f>
        <v/>
      </c>
      <c r="Y32" s="17">
        <f>'Investment &amp; Financing'!$B$22</f>
        <v/>
      </c>
      <c r="Z32" s="17">
        <f>'Investment &amp; Financing'!$B$22</f>
        <v/>
      </c>
      <c r="AA32" s="17">
        <f>'Investment &amp; Financing'!$B$22</f>
        <v/>
      </c>
      <c r="AB32" s="17">
        <f>'Investment &amp; Financing'!$B$22</f>
        <v/>
      </c>
      <c r="AC32" s="17">
        <f>'Investment &amp; Financing'!$B$22</f>
        <v/>
      </c>
      <c r="AD32" s="17">
        <f>'Investment &amp; Financing'!$B$22</f>
        <v/>
      </c>
      <c r="AE32" s="17">
        <f>'Investment &amp; Financing'!$B$22</f>
        <v/>
      </c>
      <c r="AF32" s="17">
        <f>'Investment &amp; Financing'!$B$22</f>
        <v/>
      </c>
      <c r="AG32" s="17">
        <f>'Investment &amp; Financing'!$B$22</f>
        <v/>
      </c>
      <c r="AH32" s="17">
        <f>'Investment &amp; Financing'!$B$22</f>
        <v/>
      </c>
      <c r="AI32" s="17">
        <f>'Investment &amp; Financing'!$B$22</f>
        <v/>
      </c>
      <c r="AJ32" s="17">
        <f>'Investment &amp; Financing'!$B$22</f>
        <v/>
      </c>
      <c r="AK32" s="17">
        <f>'Investment &amp; Financing'!$B$22</f>
        <v/>
      </c>
    </row>
    <row r="33">
      <c r="A33" s="4" t="inlineStr">
        <is>
          <t>Interest (SEFA)</t>
        </is>
      </c>
      <c r="B33" s="17">
        <f>'Investment &amp; Financing'!$B$27</f>
        <v/>
      </c>
      <c r="C33" s="17">
        <f>'Investment &amp; Financing'!$B$27</f>
        <v/>
      </c>
      <c r="D33" s="17">
        <f>'Investment &amp; Financing'!$B$27</f>
        <v/>
      </c>
      <c r="E33" s="17">
        <f>'Investment &amp; Financing'!$B$27</f>
        <v/>
      </c>
      <c r="F33" s="17">
        <f>'Investment &amp; Financing'!$B$27</f>
        <v/>
      </c>
      <c r="G33" s="17">
        <f>'Investment &amp; Financing'!$B$27</f>
        <v/>
      </c>
      <c r="H33" s="17">
        <f>'Investment &amp; Financing'!$B$27</f>
        <v/>
      </c>
      <c r="I33" s="17">
        <f>'Investment &amp; Financing'!$B$27</f>
        <v/>
      </c>
      <c r="J33" s="17">
        <f>'Investment &amp; Financing'!$B$27</f>
        <v/>
      </c>
      <c r="K33" s="17">
        <f>'Investment &amp; Financing'!$B$27</f>
        <v/>
      </c>
      <c r="L33" s="17">
        <f>'Investment &amp; Financing'!$B$27</f>
        <v/>
      </c>
      <c r="M33" s="17">
        <f>'Investment &amp; Financing'!$B$27</f>
        <v/>
      </c>
      <c r="N33" s="17">
        <f>'Investment &amp; Financing'!$B$27</f>
        <v/>
      </c>
      <c r="O33" s="17">
        <f>'Investment &amp; Financing'!$B$27</f>
        <v/>
      </c>
      <c r="P33" s="17">
        <f>'Investment &amp; Financing'!$B$27</f>
        <v/>
      </c>
      <c r="Q33" s="17">
        <f>'Investment &amp; Financing'!$B$27</f>
        <v/>
      </c>
      <c r="R33" s="17">
        <f>'Investment &amp; Financing'!$B$27</f>
        <v/>
      </c>
      <c r="S33" s="17">
        <f>'Investment &amp; Financing'!$B$27</f>
        <v/>
      </c>
      <c r="T33" s="17">
        <f>'Investment &amp; Financing'!$B$27</f>
        <v/>
      </c>
      <c r="U33" s="17">
        <f>'Investment &amp; Financing'!$B$27</f>
        <v/>
      </c>
      <c r="V33" s="17">
        <f>'Investment &amp; Financing'!$B$27</f>
        <v/>
      </c>
      <c r="W33" s="17">
        <f>'Investment &amp; Financing'!$B$27</f>
        <v/>
      </c>
      <c r="X33" s="17">
        <f>'Investment &amp; Financing'!$B$27</f>
        <v/>
      </c>
      <c r="Y33" s="17">
        <f>'Investment &amp; Financing'!$B$27</f>
        <v/>
      </c>
      <c r="Z33" s="17">
        <f>'Investment &amp; Financing'!$B$27</f>
        <v/>
      </c>
      <c r="AA33" s="17">
        <f>'Investment &amp; Financing'!$B$27</f>
        <v/>
      </c>
      <c r="AB33" s="17">
        <f>'Investment &amp; Financing'!$B$27</f>
        <v/>
      </c>
      <c r="AC33" s="17">
        <f>'Investment &amp; Financing'!$B$27</f>
        <v/>
      </c>
      <c r="AD33" s="17">
        <f>'Investment &amp; Financing'!$B$27</f>
        <v/>
      </c>
      <c r="AE33" s="17">
        <f>'Investment &amp; Financing'!$B$27</f>
        <v/>
      </c>
      <c r="AF33" s="17">
        <f>'Investment &amp; Financing'!$B$27</f>
        <v/>
      </c>
      <c r="AG33" s="17">
        <f>'Investment &amp; Financing'!$B$27</f>
        <v/>
      </c>
      <c r="AH33" s="17">
        <f>'Investment &amp; Financing'!$B$27</f>
        <v/>
      </c>
      <c r="AI33" s="17">
        <f>'Investment &amp; Financing'!$B$27</f>
        <v/>
      </c>
      <c r="AJ33" s="17">
        <f>'Investment &amp; Financing'!$B$27</f>
        <v/>
      </c>
      <c r="AK33" s="17">
        <f>'Investment &amp; Financing'!$B$27</f>
        <v/>
      </c>
    </row>
    <row r="34">
      <c r="A34" s="13" t="inlineStr">
        <is>
          <t>Net profit</t>
        </is>
      </c>
      <c r="B34" s="17">
        <f>B31-B32-B33</f>
        <v/>
      </c>
      <c r="C34" s="17">
        <f>C31-C32-C33</f>
        <v/>
      </c>
      <c r="D34" s="17">
        <f>D31-D32-D33</f>
        <v/>
      </c>
      <c r="E34" s="17">
        <f>E31-E32-E33</f>
        <v/>
      </c>
      <c r="F34" s="17">
        <f>F31-F32-F33</f>
        <v/>
      </c>
      <c r="G34" s="17">
        <f>G31-G32-G33</f>
        <v/>
      </c>
      <c r="H34" s="17">
        <f>H31-H32-H33</f>
        <v/>
      </c>
      <c r="I34" s="17">
        <f>I31-I32-I33</f>
        <v/>
      </c>
      <c r="J34" s="17">
        <f>J31-J32-J33</f>
        <v/>
      </c>
      <c r="K34" s="17">
        <f>K31-K32-K33</f>
        <v/>
      </c>
      <c r="L34" s="17">
        <f>L31-L32-L33</f>
        <v/>
      </c>
      <c r="M34" s="17">
        <f>M31-M32-M33</f>
        <v/>
      </c>
      <c r="N34" s="17">
        <f>N31-N32-N33</f>
        <v/>
      </c>
      <c r="O34" s="17">
        <f>O31-O32-O33</f>
        <v/>
      </c>
      <c r="P34" s="17">
        <f>P31-P32-P33</f>
        <v/>
      </c>
      <c r="Q34" s="17">
        <f>Q31-Q32-Q33</f>
        <v/>
      </c>
      <c r="R34" s="17">
        <f>R31-R32-R33</f>
        <v/>
      </c>
      <c r="S34" s="17">
        <f>S31-S32-S33</f>
        <v/>
      </c>
      <c r="T34" s="17">
        <f>T31-T32-T33</f>
        <v/>
      </c>
      <c r="U34" s="17">
        <f>U31-U32-U33</f>
        <v/>
      </c>
      <c r="V34" s="17">
        <f>V31-V32-V33</f>
        <v/>
      </c>
      <c r="W34" s="17">
        <f>W31-W32-W33</f>
        <v/>
      </c>
      <c r="X34" s="17">
        <f>X31-X32-X33</f>
        <v/>
      </c>
      <c r="Y34" s="17">
        <f>Y31-Y32-Y33</f>
        <v/>
      </c>
      <c r="Z34" s="17">
        <f>Z31-Z32-Z33</f>
        <v/>
      </c>
      <c r="AA34" s="17">
        <f>AA31-AA32-AA33</f>
        <v/>
      </c>
      <c r="AB34" s="17">
        <f>AB31-AB32-AB33</f>
        <v/>
      </c>
      <c r="AC34" s="17">
        <f>AC31-AC32-AC33</f>
        <v/>
      </c>
      <c r="AD34" s="17">
        <f>AD31-AD32-AD33</f>
        <v/>
      </c>
      <c r="AE34" s="17">
        <f>AE31-AE32-AE33</f>
        <v/>
      </c>
      <c r="AF34" s="17">
        <f>AF31-AF32-AF33</f>
        <v/>
      </c>
      <c r="AG34" s="17">
        <f>AG31-AG32-AG33</f>
        <v/>
      </c>
      <c r="AH34" s="17">
        <f>AH31-AH32-AH33</f>
        <v/>
      </c>
      <c r="AI34" s="17">
        <f>AI31-AI32-AI33</f>
        <v/>
      </c>
      <c r="AJ34" s="17">
        <f>AJ31-AJ32-AJ33</f>
        <v/>
      </c>
      <c r="AK34" s="17">
        <f>AK31-AK32-AK33</f>
        <v/>
      </c>
    </row>
    <row r="35">
      <c r="A35" s="13" t="inlineStr">
        <is>
          <t>Cumulative net profit (-&gt; equity)</t>
        </is>
      </c>
      <c r="B35" s="17">
        <f>B34</f>
        <v/>
      </c>
      <c r="C35" s="17">
        <f>B35+C34</f>
        <v/>
      </c>
      <c r="D35" s="17">
        <f>C35+D34</f>
        <v/>
      </c>
      <c r="E35" s="17">
        <f>D35+E34</f>
        <v/>
      </c>
      <c r="F35" s="17">
        <f>E35+F34</f>
        <v/>
      </c>
      <c r="G35" s="17">
        <f>F35+G34</f>
        <v/>
      </c>
      <c r="H35" s="17">
        <f>G35+H34</f>
        <v/>
      </c>
      <c r="I35" s="17">
        <f>H35+I34</f>
        <v/>
      </c>
      <c r="J35" s="17">
        <f>I35+J34</f>
        <v/>
      </c>
      <c r="K35" s="17">
        <f>J35+K34</f>
        <v/>
      </c>
      <c r="L35" s="17">
        <f>K35+L34</f>
        <v/>
      </c>
      <c r="M35" s="17">
        <f>L35+M34</f>
        <v/>
      </c>
      <c r="N35" s="17">
        <f>M35+N34</f>
        <v/>
      </c>
      <c r="O35" s="17">
        <f>N35+O34</f>
        <v/>
      </c>
      <c r="P35" s="17">
        <f>O35+P34</f>
        <v/>
      </c>
      <c r="Q35" s="17">
        <f>P35+Q34</f>
        <v/>
      </c>
      <c r="R35" s="17">
        <f>Q35+R34</f>
        <v/>
      </c>
      <c r="S35" s="17">
        <f>R35+S34</f>
        <v/>
      </c>
      <c r="T35" s="17">
        <f>S35+T34</f>
        <v/>
      </c>
      <c r="U35" s="17">
        <f>T35+U34</f>
        <v/>
      </c>
      <c r="V35" s="17">
        <f>U35+V34</f>
        <v/>
      </c>
      <c r="W35" s="17">
        <f>V35+W34</f>
        <v/>
      </c>
      <c r="X35" s="17">
        <f>W35+X34</f>
        <v/>
      </c>
      <c r="Y35" s="17">
        <f>X35+Y34</f>
        <v/>
      </c>
      <c r="Z35" s="17">
        <f>Y35+Z34</f>
        <v/>
      </c>
      <c r="AA35" s="17">
        <f>Z35+AA34</f>
        <v/>
      </c>
      <c r="AB35" s="17">
        <f>AA35+AB34</f>
        <v/>
      </c>
      <c r="AC35" s="17">
        <f>AB35+AC34</f>
        <v/>
      </c>
      <c r="AD35" s="17">
        <f>AC35+AD34</f>
        <v/>
      </c>
      <c r="AE35" s="17">
        <f>AD35+AE34</f>
        <v/>
      </c>
      <c r="AF35" s="17">
        <f>AE35+AF34</f>
        <v/>
      </c>
      <c r="AG35" s="17">
        <f>AF35+AG34</f>
        <v/>
      </c>
      <c r="AH35" s="17">
        <f>AG35+AH34</f>
        <v/>
      </c>
      <c r="AI35" s="17">
        <f>AH35+AI34</f>
        <v/>
      </c>
      <c r="AJ35" s="17">
        <f>AI35+AJ34</f>
        <v/>
      </c>
      <c r="AK35" s="17">
        <f>AJ35+AK34</f>
        <v/>
      </c>
    </row>
  </sheetData>
  <mergeCells count="4">
    <mergeCell ref="A14:E14"/>
    <mergeCell ref="A23:E23"/>
    <mergeCell ref="A2:C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 ht="22" customHeight="1">
      <c r="A1" s="1" t="inlineStr">
        <is>
          <t>BALANCE SHEET &amp; WC — must balance. BALANCE CHECK reads 0 every period.</t>
        </is>
      </c>
    </row>
    <row r="2">
      <c r="A2" s="8" t="inlineStr">
        <is>
          <t>Monthly balance sheet (ties to P&amp;L cumulative net + Cashflow closing cash)</t>
        </is>
      </c>
    </row>
    <row r="3">
      <c r="A3" s="8" t="inlineStr">
        <is>
          <t>Month</t>
        </is>
      </c>
      <c r="B3" s="20" t="inlineStr">
        <is>
          <t>M1</t>
        </is>
      </c>
      <c r="C3" s="20" t="inlineStr">
        <is>
          <t>M2</t>
        </is>
      </c>
      <c r="D3" s="20" t="inlineStr">
        <is>
          <t>M3</t>
        </is>
      </c>
      <c r="E3" s="20" t="inlineStr">
        <is>
          <t>M4</t>
        </is>
      </c>
      <c r="F3" s="20" t="inlineStr">
        <is>
          <t>M5</t>
        </is>
      </c>
      <c r="G3" s="20" t="inlineStr">
        <is>
          <t>M6</t>
        </is>
      </c>
      <c r="H3" s="20" t="inlineStr">
        <is>
          <t>M7</t>
        </is>
      </c>
      <c r="I3" s="20" t="inlineStr">
        <is>
          <t>M8</t>
        </is>
      </c>
      <c r="J3" s="20" t="inlineStr">
        <is>
          <t>M9</t>
        </is>
      </c>
      <c r="K3" s="20" t="inlineStr">
        <is>
          <t>M10</t>
        </is>
      </c>
      <c r="L3" s="20" t="inlineStr">
        <is>
          <t>M11</t>
        </is>
      </c>
      <c r="M3" s="20" t="inlineStr">
        <is>
          <t>M12</t>
        </is>
      </c>
      <c r="N3" s="20" t="inlineStr">
        <is>
          <t>M13</t>
        </is>
      </c>
      <c r="O3" s="20" t="inlineStr">
        <is>
          <t>M14</t>
        </is>
      </c>
      <c r="P3" s="20" t="inlineStr">
        <is>
          <t>M15</t>
        </is>
      </c>
      <c r="Q3" s="20" t="inlineStr">
        <is>
          <t>M16</t>
        </is>
      </c>
      <c r="R3" s="20" t="inlineStr">
        <is>
          <t>M17</t>
        </is>
      </c>
      <c r="S3" s="20" t="inlineStr">
        <is>
          <t>M18</t>
        </is>
      </c>
      <c r="T3" s="20" t="inlineStr">
        <is>
          <t>M19</t>
        </is>
      </c>
      <c r="U3" s="20" t="inlineStr">
        <is>
          <t>M20</t>
        </is>
      </c>
      <c r="V3" s="20" t="inlineStr">
        <is>
          <t>M21</t>
        </is>
      </c>
      <c r="W3" s="20" t="inlineStr">
        <is>
          <t>M22</t>
        </is>
      </c>
      <c r="X3" s="20" t="inlineStr">
        <is>
          <t>M23</t>
        </is>
      </c>
      <c r="Y3" s="20" t="inlineStr">
        <is>
          <t>M24</t>
        </is>
      </c>
      <c r="Z3" s="20" t="inlineStr">
        <is>
          <t>M25</t>
        </is>
      </c>
      <c r="AA3" s="20" t="inlineStr">
        <is>
          <t>M26</t>
        </is>
      </c>
      <c r="AB3" s="20" t="inlineStr">
        <is>
          <t>M27</t>
        </is>
      </c>
      <c r="AC3" s="20" t="inlineStr">
        <is>
          <t>M28</t>
        </is>
      </c>
      <c r="AD3" s="20" t="inlineStr">
        <is>
          <t>M29</t>
        </is>
      </c>
      <c r="AE3" s="20" t="inlineStr">
        <is>
          <t>M30</t>
        </is>
      </c>
      <c r="AF3" s="20" t="inlineStr">
        <is>
          <t>M31</t>
        </is>
      </c>
      <c r="AG3" s="20" t="inlineStr">
        <is>
          <t>M32</t>
        </is>
      </c>
      <c r="AH3" s="20" t="inlineStr">
        <is>
          <t>M33</t>
        </is>
      </c>
      <c r="AI3" s="20" t="inlineStr">
        <is>
          <t>M34</t>
        </is>
      </c>
      <c r="AJ3" s="20" t="inlineStr">
        <is>
          <t>M35</t>
        </is>
      </c>
      <c r="AK3" s="20" t="inlineStr">
        <is>
          <t>M36</t>
        </is>
      </c>
    </row>
    <row r="4">
      <c r="A4" s="4" t="inlineStr">
        <is>
          <t>Cash (= Cashflow closing)</t>
        </is>
      </c>
      <c r="B4" s="17">
        <f>'Cashflow 36-month'!B13</f>
        <v/>
      </c>
      <c r="C4" s="17">
        <f>'Cashflow 36-month'!C13</f>
        <v/>
      </c>
      <c r="D4" s="17">
        <f>'Cashflow 36-month'!D13</f>
        <v/>
      </c>
      <c r="E4" s="17">
        <f>'Cashflow 36-month'!E13</f>
        <v/>
      </c>
      <c r="F4" s="17">
        <f>'Cashflow 36-month'!F13</f>
        <v/>
      </c>
      <c r="G4" s="17">
        <f>'Cashflow 36-month'!G13</f>
        <v/>
      </c>
      <c r="H4" s="17">
        <f>'Cashflow 36-month'!H13</f>
        <v/>
      </c>
      <c r="I4" s="17">
        <f>'Cashflow 36-month'!I13</f>
        <v/>
      </c>
      <c r="J4" s="17">
        <f>'Cashflow 36-month'!J13</f>
        <v/>
      </c>
      <c r="K4" s="17">
        <f>'Cashflow 36-month'!K13</f>
        <v/>
      </c>
      <c r="L4" s="17">
        <f>'Cashflow 36-month'!L13</f>
        <v/>
      </c>
      <c r="M4" s="17">
        <f>'Cashflow 36-month'!M13</f>
        <v/>
      </c>
      <c r="N4" s="17">
        <f>'Cashflow 36-month'!N13</f>
        <v/>
      </c>
      <c r="O4" s="17">
        <f>'Cashflow 36-month'!O13</f>
        <v/>
      </c>
      <c r="P4" s="17">
        <f>'Cashflow 36-month'!P13</f>
        <v/>
      </c>
      <c r="Q4" s="17">
        <f>'Cashflow 36-month'!Q13</f>
        <v/>
      </c>
      <c r="R4" s="17">
        <f>'Cashflow 36-month'!R13</f>
        <v/>
      </c>
      <c r="S4" s="17">
        <f>'Cashflow 36-month'!S13</f>
        <v/>
      </c>
      <c r="T4" s="17">
        <f>'Cashflow 36-month'!T13</f>
        <v/>
      </c>
      <c r="U4" s="17">
        <f>'Cashflow 36-month'!U13</f>
        <v/>
      </c>
      <c r="V4" s="17">
        <f>'Cashflow 36-month'!V13</f>
        <v/>
      </c>
      <c r="W4" s="17">
        <f>'Cashflow 36-month'!W13</f>
        <v/>
      </c>
      <c r="X4" s="17">
        <f>'Cashflow 36-month'!X13</f>
        <v/>
      </c>
      <c r="Y4" s="17">
        <f>'Cashflow 36-month'!Y13</f>
        <v/>
      </c>
      <c r="Z4" s="17">
        <f>'Cashflow 36-month'!Z13</f>
        <v/>
      </c>
      <c r="AA4" s="17">
        <f>'Cashflow 36-month'!AA13</f>
        <v/>
      </c>
      <c r="AB4" s="17">
        <f>'Cashflow 36-month'!AB13</f>
        <v/>
      </c>
      <c r="AC4" s="17">
        <f>'Cashflow 36-month'!AC13</f>
        <v/>
      </c>
      <c r="AD4" s="17">
        <f>'Cashflow 36-month'!AD13</f>
        <v/>
      </c>
      <c r="AE4" s="17">
        <f>'Cashflow 36-month'!AE13</f>
        <v/>
      </c>
      <c r="AF4" s="17">
        <f>'Cashflow 36-month'!AF13</f>
        <v/>
      </c>
      <c r="AG4" s="17">
        <f>'Cashflow 36-month'!AG13</f>
        <v/>
      </c>
      <c r="AH4" s="17">
        <f>'Cashflow 36-month'!AH13</f>
        <v/>
      </c>
      <c r="AI4" s="17">
        <f>'Cashflow 36-month'!AI13</f>
        <v/>
      </c>
      <c r="AJ4" s="17">
        <f>'Cashflow 36-month'!AJ13</f>
        <v/>
      </c>
      <c r="AK4" s="17">
        <f>'Cashflow 36-month'!AK13</f>
        <v/>
      </c>
    </row>
    <row r="5">
      <c r="A5" s="4" t="inlineStr">
        <is>
          <t>Accounts receivable (Rotary)</t>
        </is>
      </c>
      <c r="B5" s="17">
        <f>'Assumptions &amp; Provenance'!$B$47</f>
        <v/>
      </c>
      <c r="C5" s="17">
        <f>'Assumptions &amp; Provenance'!$B$47</f>
        <v/>
      </c>
      <c r="D5" s="17">
        <f>'Assumptions &amp; Provenance'!$B$47</f>
        <v/>
      </c>
      <c r="E5" s="17">
        <f>'Assumptions &amp; Provenance'!$B$47</f>
        <v/>
      </c>
      <c r="F5" s="17">
        <f>'Assumptions &amp; Provenance'!$B$47</f>
        <v/>
      </c>
      <c r="G5" s="17">
        <f>'Assumptions &amp; Provenance'!$B$47</f>
        <v/>
      </c>
      <c r="H5" s="17">
        <f>'Assumptions &amp; Provenance'!$B$47</f>
        <v/>
      </c>
      <c r="I5" s="17">
        <f>'Assumptions &amp; Provenance'!$B$47</f>
        <v/>
      </c>
      <c r="J5" s="17">
        <f>'Assumptions &amp; Provenance'!$B$47</f>
        <v/>
      </c>
      <c r="K5" s="17">
        <f>'Assumptions &amp; Provenance'!$B$47</f>
        <v/>
      </c>
      <c r="L5" s="17">
        <f>'Assumptions &amp; Provenance'!$B$47</f>
        <v/>
      </c>
      <c r="M5" s="17">
        <f>'Assumptions &amp; Provenance'!$B$47</f>
        <v/>
      </c>
      <c r="N5" s="17">
        <f>'Assumptions &amp; Provenance'!$B$47</f>
        <v/>
      </c>
      <c r="O5" s="17">
        <f>'Assumptions &amp; Provenance'!$B$47</f>
        <v/>
      </c>
      <c r="P5" s="17">
        <f>'Assumptions &amp; Provenance'!$B$47</f>
        <v/>
      </c>
      <c r="Q5" s="17">
        <f>'Assumptions &amp; Provenance'!$B$47</f>
        <v/>
      </c>
      <c r="R5" s="17">
        <f>'Assumptions &amp; Provenance'!$B$47</f>
        <v/>
      </c>
      <c r="S5" s="17">
        <f>'Assumptions &amp; Provenance'!$B$47</f>
        <v/>
      </c>
      <c r="T5" s="17">
        <f>'Assumptions &amp; Provenance'!$B$47</f>
        <v/>
      </c>
      <c r="U5" s="17">
        <f>'Assumptions &amp; Provenance'!$B$47</f>
        <v/>
      </c>
      <c r="V5" s="17">
        <f>'Assumptions &amp; Provenance'!$B$47</f>
        <v/>
      </c>
      <c r="W5" s="17">
        <f>'Assumptions &amp; Provenance'!$B$47</f>
        <v/>
      </c>
      <c r="X5" s="17">
        <f>'Assumptions &amp; Provenance'!$B$47</f>
        <v/>
      </c>
      <c r="Y5" s="17">
        <f>'Assumptions &amp; Provenance'!$B$47</f>
        <v/>
      </c>
      <c r="Z5" s="17">
        <f>'Assumptions &amp; Provenance'!$B$47</f>
        <v/>
      </c>
      <c r="AA5" s="17">
        <f>'Assumptions &amp; Provenance'!$B$47</f>
        <v/>
      </c>
      <c r="AB5" s="17">
        <f>'Assumptions &amp; Provenance'!$B$47</f>
        <v/>
      </c>
      <c r="AC5" s="17">
        <f>'Assumptions &amp; Provenance'!$B$47</f>
        <v/>
      </c>
      <c r="AD5" s="17">
        <f>'Assumptions &amp; Provenance'!$B$47</f>
        <v/>
      </c>
      <c r="AE5" s="17">
        <f>'Assumptions &amp; Provenance'!$B$47</f>
        <v/>
      </c>
      <c r="AF5" s="17">
        <f>'Assumptions &amp; Provenance'!$B$47</f>
        <v/>
      </c>
      <c r="AG5" s="17">
        <f>'Assumptions &amp; Provenance'!$B$47</f>
        <v/>
      </c>
      <c r="AH5" s="17">
        <f>'Assumptions &amp; Provenance'!$B$47</f>
        <v/>
      </c>
      <c r="AI5" s="17">
        <f>'Assumptions &amp; Provenance'!$B$47</f>
        <v/>
      </c>
      <c r="AJ5" s="17">
        <f>'Assumptions &amp; Provenance'!$B$47</f>
        <v/>
      </c>
      <c r="AK5" s="17">
        <f>'Assumptions &amp; Provenance'!$B$47</f>
        <v/>
      </c>
    </row>
    <row r="6">
      <c r="A6" s="4" t="inlineStr">
        <is>
          <t>Inventory (seed)</t>
        </is>
      </c>
      <c r="B6" s="17">
        <f>$B$24</f>
        <v/>
      </c>
      <c r="C6" s="17">
        <f>$B$24</f>
        <v/>
      </c>
      <c r="D6" s="17">
        <f>$B$24</f>
        <v/>
      </c>
      <c r="E6" s="17">
        <f>$B$24</f>
        <v/>
      </c>
      <c r="F6" s="17">
        <f>$B$24</f>
        <v/>
      </c>
      <c r="G6" s="17">
        <f>$B$24</f>
        <v/>
      </c>
      <c r="H6" s="17">
        <f>$B$24</f>
        <v/>
      </c>
      <c r="I6" s="17">
        <f>$B$24</f>
        <v/>
      </c>
      <c r="J6" s="17">
        <f>$B$24</f>
        <v/>
      </c>
      <c r="K6" s="17">
        <f>$B$24</f>
        <v/>
      </c>
      <c r="L6" s="17">
        <f>$B$24</f>
        <v/>
      </c>
      <c r="M6" s="17">
        <f>$B$24</f>
        <v/>
      </c>
      <c r="N6" s="17">
        <f>$B$24</f>
        <v/>
      </c>
      <c r="O6" s="17">
        <f>$B$24</f>
        <v/>
      </c>
      <c r="P6" s="17">
        <f>$B$24</f>
        <v/>
      </c>
      <c r="Q6" s="17">
        <f>$B$24</f>
        <v/>
      </c>
      <c r="R6" s="17">
        <f>$B$24</f>
        <v/>
      </c>
      <c r="S6" s="17">
        <f>$B$24</f>
        <v/>
      </c>
      <c r="T6" s="17">
        <f>$B$24</f>
        <v/>
      </c>
      <c r="U6" s="17">
        <f>$B$24</f>
        <v/>
      </c>
      <c r="V6" s="17">
        <f>$B$24</f>
        <v/>
      </c>
      <c r="W6" s="17">
        <f>$B$24</f>
        <v/>
      </c>
      <c r="X6" s="17">
        <f>$B$24</f>
        <v/>
      </c>
      <c r="Y6" s="17">
        <f>$B$24</f>
        <v/>
      </c>
      <c r="Z6" s="17">
        <f>$B$24</f>
        <v/>
      </c>
      <c r="AA6" s="17">
        <f>$B$24</f>
        <v/>
      </c>
      <c r="AB6" s="17">
        <f>$B$24</f>
        <v/>
      </c>
      <c r="AC6" s="17">
        <f>$B$24</f>
        <v/>
      </c>
      <c r="AD6" s="17">
        <f>$B$24</f>
        <v/>
      </c>
      <c r="AE6" s="17">
        <f>$B$24</f>
        <v/>
      </c>
      <c r="AF6" s="17">
        <f>$B$24</f>
        <v/>
      </c>
      <c r="AG6" s="17">
        <f>$B$24</f>
        <v/>
      </c>
      <c r="AH6" s="17">
        <f>$B$24</f>
        <v/>
      </c>
      <c r="AI6" s="17">
        <f>$B$24</f>
        <v/>
      </c>
      <c r="AJ6" s="17">
        <f>$B$24</f>
        <v/>
      </c>
      <c r="AK6" s="17">
        <f>$B$24</f>
        <v/>
      </c>
    </row>
    <row r="7">
      <c r="A7" s="4" t="inlineStr">
        <is>
          <t>PP&amp;E (capex - accum dep)</t>
        </is>
      </c>
      <c r="B7" s="17">
        <f>('Investment &amp; Financing'!$B$7+'Assumptions &amp; Provenance'!$B$49)-'Investment &amp; Financing'!$B$22*1</f>
        <v/>
      </c>
      <c r="C7" s="17">
        <f>('Investment &amp; Financing'!$B$7+'Assumptions &amp; Provenance'!$B$49)-'Investment &amp; Financing'!$B$22*2</f>
        <v/>
      </c>
      <c r="D7" s="17">
        <f>('Investment &amp; Financing'!$B$7+'Assumptions &amp; Provenance'!$B$49)-'Investment &amp; Financing'!$B$22*3</f>
        <v/>
      </c>
      <c r="E7" s="17">
        <f>('Investment &amp; Financing'!$B$7+'Assumptions &amp; Provenance'!$B$49)-'Investment &amp; Financing'!$B$22*4</f>
        <v/>
      </c>
      <c r="F7" s="17">
        <f>('Investment &amp; Financing'!$B$7+'Assumptions &amp; Provenance'!$B$49)-'Investment &amp; Financing'!$B$22*5</f>
        <v/>
      </c>
      <c r="G7" s="17">
        <f>('Investment &amp; Financing'!$B$7+'Assumptions &amp; Provenance'!$B$49)-'Investment &amp; Financing'!$B$22*6</f>
        <v/>
      </c>
      <c r="H7" s="17">
        <f>('Investment &amp; Financing'!$B$7+'Assumptions &amp; Provenance'!$B$49)-'Investment &amp; Financing'!$B$22*7</f>
        <v/>
      </c>
      <c r="I7" s="17">
        <f>('Investment &amp; Financing'!$B$7+'Assumptions &amp; Provenance'!$B$49)-'Investment &amp; Financing'!$B$22*8</f>
        <v/>
      </c>
      <c r="J7" s="17">
        <f>('Investment &amp; Financing'!$B$7+'Assumptions &amp; Provenance'!$B$49)-'Investment &amp; Financing'!$B$22*9</f>
        <v/>
      </c>
      <c r="K7" s="17">
        <f>('Investment &amp; Financing'!$B$7+'Assumptions &amp; Provenance'!$B$49)-'Investment &amp; Financing'!$B$22*10</f>
        <v/>
      </c>
      <c r="L7" s="17">
        <f>('Investment &amp; Financing'!$B$7+'Assumptions &amp; Provenance'!$B$49)-'Investment &amp; Financing'!$B$22*11</f>
        <v/>
      </c>
      <c r="M7" s="17">
        <f>('Investment &amp; Financing'!$B$7+'Assumptions &amp; Provenance'!$B$49)-'Investment &amp; Financing'!$B$22*12</f>
        <v/>
      </c>
      <c r="N7" s="17">
        <f>('Investment &amp; Financing'!$B$7+'Assumptions &amp; Provenance'!$B$49)-'Investment &amp; Financing'!$B$22*13</f>
        <v/>
      </c>
      <c r="O7" s="17">
        <f>('Investment &amp; Financing'!$B$7+'Assumptions &amp; Provenance'!$B$49)-'Investment &amp; Financing'!$B$22*14</f>
        <v/>
      </c>
      <c r="P7" s="17">
        <f>('Investment &amp; Financing'!$B$7+'Assumptions &amp; Provenance'!$B$49)-'Investment &amp; Financing'!$B$22*15</f>
        <v/>
      </c>
      <c r="Q7" s="17">
        <f>('Investment &amp; Financing'!$B$7+'Assumptions &amp; Provenance'!$B$49)-'Investment &amp; Financing'!$B$22*16</f>
        <v/>
      </c>
      <c r="R7" s="17">
        <f>('Investment &amp; Financing'!$B$7+'Assumptions &amp; Provenance'!$B$49)-'Investment &amp; Financing'!$B$22*17</f>
        <v/>
      </c>
      <c r="S7" s="17">
        <f>('Investment &amp; Financing'!$B$7+'Assumptions &amp; Provenance'!$B$49)-'Investment &amp; Financing'!$B$22*18</f>
        <v/>
      </c>
      <c r="T7" s="17">
        <f>('Investment &amp; Financing'!$B$7+'Assumptions &amp; Provenance'!$B$49)-'Investment &amp; Financing'!$B$22*19</f>
        <v/>
      </c>
      <c r="U7" s="17">
        <f>('Investment &amp; Financing'!$B$7+'Assumptions &amp; Provenance'!$B$49)-'Investment &amp; Financing'!$B$22*20</f>
        <v/>
      </c>
      <c r="V7" s="17">
        <f>('Investment &amp; Financing'!$B$7+'Assumptions &amp; Provenance'!$B$49)-'Investment &amp; Financing'!$B$22*21</f>
        <v/>
      </c>
      <c r="W7" s="17">
        <f>('Investment &amp; Financing'!$B$7+'Assumptions &amp; Provenance'!$B$49)-'Investment &amp; Financing'!$B$22*22</f>
        <v/>
      </c>
      <c r="X7" s="17">
        <f>('Investment &amp; Financing'!$B$7+'Assumptions &amp; Provenance'!$B$49)-'Investment &amp; Financing'!$B$22*23</f>
        <v/>
      </c>
      <c r="Y7" s="17">
        <f>('Investment &amp; Financing'!$B$7+'Assumptions &amp; Provenance'!$B$49)-'Investment &amp; Financing'!$B$22*24</f>
        <v/>
      </c>
      <c r="Z7" s="17">
        <f>('Investment &amp; Financing'!$B$7+'Assumptions &amp; Provenance'!$B$49)-'Investment &amp; Financing'!$B$22*25</f>
        <v/>
      </c>
      <c r="AA7" s="17">
        <f>('Investment &amp; Financing'!$B$7+'Assumptions &amp; Provenance'!$B$49)-'Investment &amp; Financing'!$B$22*26</f>
        <v/>
      </c>
      <c r="AB7" s="17">
        <f>('Investment &amp; Financing'!$B$7+'Assumptions &amp; Provenance'!$B$49)-'Investment &amp; Financing'!$B$22*27</f>
        <v/>
      </c>
      <c r="AC7" s="17">
        <f>('Investment &amp; Financing'!$B$7+'Assumptions &amp; Provenance'!$B$49)-'Investment &amp; Financing'!$B$22*28</f>
        <v/>
      </c>
      <c r="AD7" s="17">
        <f>('Investment &amp; Financing'!$B$7+'Assumptions &amp; Provenance'!$B$49)-'Investment &amp; Financing'!$B$22*29</f>
        <v/>
      </c>
      <c r="AE7" s="17">
        <f>('Investment &amp; Financing'!$B$7+'Assumptions &amp; Provenance'!$B$49)-'Investment &amp; Financing'!$B$22*30</f>
        <v/>
      </c>
      <c r="AF7" s="17">
        <f>('Investment &amp; Financing'!$B$7+'Assumptions &amp; Provenance'!$B$49)-'Investment &amp; Financing'!$B$22*31</f>
        <v/>
      </c>
      <c r="AG7" s="17">
        <f>('Investment &amp; Financing'!$B$7+'Assumptions &amp; Provenance'!$B$49)-'Investment &amp; Financing'!$B$22*32</f>
        <v/>
      </c>
      <c r="AH7" s="17">
        <f>('Investment &amp; Financing'!$B$7+'Assumptions &amp; Provenance'!$B$49)-'Investment &amp; Financing'!$B$22*33</f>
        <v/>
      </c>
      <c r="AI7" s="17">
        <f>('Investment &amp; Financing'!$B$7+'Assumptions &amp; Provenance'!$B$49)-'Investment &amp; Financing'!$B$22*34</f>
        <v/>
      </c>
      <c r="AJ7" s="17">
        <f>('Investment &amp; Financing'!$B$7+'Assumptions &amp; Provenance'!$B$49)-'Investment &amp; Financing'!$B$22*35</f>
        <v/>
      </c>
      <c r="AK7" s="17">
        <f>('Investment &amp; Financing'!$B$7+'Assumptions &amp; Provenance'!$B$49)-'Investment &amp; Financing'!$B$22*36</f>
        <v/>
      </c>
    </row>
    <row r="8">
      <c r="A8" s="13" t="inlineStr">
        <is>
          <t>TOTAL ASSETS</t>
        </is>
      </c>
      <c r="B8" s="17">
        <f>SUM(B4:B7)</f>
        <v/>
      </c>
      <c r="C8" s="17">
        <f>SUM(C4:C7)</f>
        <v/>
      </c>
      <c r="D8" s="17">
        <f>SUM(D4:D7)</f>
        <v/>
      </c>
      <c r="E8" s="17">
        <f>SUM(E4:E7)</f>
        <v/>
      </c>
      <c r="F8" s="17">
        <f>SUM(F4:F7)</f>
        <v/>
      </c>
      <c r="G8" s="17">
        <f>SUM(G4:G7)</f>
        <v/>
      </c>
      <c r="H8" s="17">
        <f>SUM(H4:H7)</f>
        <v/>
      </c>
      <c r="I8" s="17">
        <f>SUM(I4:I7)</f>
        <v/>
      </c>
      <c r="J8" s="17">
        <f>SUM(J4:J7)</f>
        <v/>
      </c>
      <c r="K8" s="17">
        <f>SUM(K4:K7)</f>
        <v/>
      </c>
      <c r="L8" s="17">
        <f>SUM(L4:L7)</f>
        <v/>
      </c>
      <c r="M8" s="17">
        <f>SUM(M4:M7)</f>
        <v/>
      </c>
      <c r="N8" s="17">
        <f>SUM(N4:N7)</f>
        <v/>
      </c>
      <c r="O8" s="17">
        <f>SUM(O4:O7)</f>
        <v/>
      </c>
      <c r="P8" s="17">
        <f>SUM(P4:P7)</f>
        <v/>
      </c>
      <c r="Q8" s="17">
        <f>SUM(Q4:Q7)</f>
        <v/>
      </c>
      <c r="R8" s="17">
        <f>SUM(R4:R7)</f>
        <v/>
      </c>
      <c r="S8" s="17">
        <f>SUM(S4:S7)</f>
        <v/>
      </c>
      <c r="T8" s="17">
        <f>SUM(T4:T7)</f>
        <v/>
      </c>
      <c r="U8" s="17">
        <f>SUM(U4:U7)</f>
        <v/>
      </c>
      <c r="V8" s="17">
        <f>SUM(V4:V7)</f>
        <v/>
      </c>
      <c r="W8" s="17">
        <f>SUM(W4:W7)</f>
        <v/>
      </c>
      <c r="X8" s="17">
        <f>SUM(X4:X7)</f>
        <v/>
      </c>
      <c r="Y8" s="17">
        <f>SUM(Y4:Y7)</f>
        <v/>
      </c>
      <c r="Z8" s="17">
        <f>SUM(Z4:Z7)</f>
        <v/>
      </c>
      <c r="AA8" s="17">
        <f>SUM(AA4:AA7)</f>
        <v/>
      </c>
      <c r="AB8" s="17">
        <f>SUM(AB4:AB7)</f>
        <v/>
      </c>
      <c r="AC8" s="17">
        <f>SUM(AC4:AC7)</f>
        <v/>
      </c>
      <c r="AD8" s="17">
        <f>SUM(AD4:AD7)</f>
        <v/>
      </c>
      <c r="AE8" s="17">
        <f>SUM(AE4:AE7)</f>
        <v/>
      </c>
      <c r="AF8" s="17">
        <f>SUM(AF4:AF7)</f>
        <v/>
      </c>
      <c r="AG8" s="17">
        <f>SUM(AG4:AG7)</f>
        <v/>
      </c>
      <c r="AH8" s="17">
        <f>SUM(AH4:AH7)</f>
        <v/>
      </c>
      <c r="AI8" s="17">
        <f>SUM(AI4:AI7)</f>
        <v/>
      </c>
      <c r="AJ8" s="17">
        <f>SUM(AJ4:AJ7)</f>
        <v/>
      </c>
      <c r="AK8" s="17">
        <f>SUM(AK4:AK7)</f>
        <v/>
      </c>
    </row>
    <row r="10">
      <c r="A10" s="4" t="inlineStr">
        <is>
          <t>Accounts payable</t>
        </is>
      </c>
      <c r="B10" s="17">
        <f>'Assumptions &amp; Provenance'!$B$50</f>
        <v/>
      </c>
      <c r="C10" s="17">
        <f>'Assumptions &amp; Provenance'!$B$50</f>
        <v/>
      </c>
      <c r="D10" s="17">
        <f>'Assumptions &amp; Provenance'!$B$50</f>
        <v/>
      </c>
      <c r="E10" s="17">
        <f>'Assumptions &amp; Provenance'!$B$50</f>
        <v/>
      </c>
      <c r="F10" s="17">
        <f>'Assumptions &amp; Provenance'!$B$50</f>
        <v/>
      </c>
      <c r="G10" s="17">
        <f>'Assumptions &amp; Provenance'!$B$50</f>
        <v/>
      </c>
      <c r="H10" s="17">
        <f>'Assumptions &amp; Provenance'!$B$50</f>
        <v/>
      </c>
      <c r="I10" s="17">
        <f>'Assumptions &amp; Provenance'!$B$50</f>
        <v/>
      </c>
      <c r="J10" s="17">
        <f>'Assumptions &amp; Provenance'!$B$50</f>
        <v/>
      </c>
      <c r="K10" s="17">
        <f>'Assumptions &amp; Provenance'!$B$50</f>
        <v/>
      </c>
      <c r="L10" s="17">
        <f>'Assumptions &amp; Provenance'!$B$50</f>
        <v/>
      </c>
      <c r="M10" s="17">
        <f>'Assumptions &amp; Provenance'!$B$50</f>
        <v/>
      </c>
      <c r="N10" s="17">
        <f>'Assumptions &amp; Provenance'!$B$50</f>
        <v/>
      </c>
      <c r="O10" s="17">
        <f>'Assumptions &amp; Provenance'!$B$50</f>
        <v/>
      </c>
      <c r="P10" s="17">
        <f>'Assumptions &amp; Provenance'!$B$50</f>
        <v/>
      </c>
      <c r="Q10" s="17">
        <f>'Assumptions &amp; Provenance'!$B$50</f>
        <v/>
      </c>
      <c r="R10" s="17">
        <f>'Assumptions &amp; Provenance'!$B$50</f>
        <v/>
      </c>
      <c r="S10" s="17">
        <f>'Assumptions &amp; Provenance'!$B$50</f>
        <v/>
      </c>
      <c r="T10" s="17">
        <f>'Assumptions &amp; Provenance'!$B$50</f>
        <v/>
      </c>
      <c r="U10" s="17">
        <f>'Assumptions &amp; Provenance'!$B$50</f>
        <v/>
      </c>
      <c r="V10" s="17">
        <f>'Assumptions &amp; Provenance'!$B$50</f>
        <v/>
      </c>
      <c r="W10" s="17">
        <f>'Assumptions &amp; Provenance'!$B$50</f>
        <v/>
      </c>
      <c r="X10" s="17">
        <f>'Assumptions &amp; Provenance'!$B$50</f>
        <v/>
      </c>
      <c r="Y10" s="17">
        <f>'Assumptions &amp; Provenance'!$B$50</f>
        <v/>
      </c>
      <c r="Z10" s="17">
        <f>'Assumptions &amp; Provenance'!$B$50</f>
        <v/>
      </c>
      <c r="AA10" s="17">
        <f>'Assumptions &amp; Provenance'!$B$50</f>
        <v/>
      </c>
      <c r="AB10" s="17">
        <f>'Assumptions &amp; Provenance'!$B$50</f>
        <v/>
      </c>
      <c r="AC10" s="17">
        <f>'Assumptions &amp; Provenance'!$B$50</f>
        <v/>
      </c>
      <c r="AD10" s="17">
        <f>'Assumptions &amp; Provenance'!$B$50</f>
        <v/>
      </c>
      <c r="AE10" s="17">
        <f>'Assumptions &amp; Provenance'!$B$50</f>
        <v/>
      </c>
      <c r="AF10" s="17">
        <f>'Assumptions &amp; Provenance'!$B$50</f>
        <v/>
      </c>
      <c r="AG10" s="17">
        <f>'Assumptions &amp; Provenance'!$B$50</f>
        <v/>
      </c>
      <c r="AH10" s="17">
        <f>'Assumptions &amp; Provenance'!$B$50</f>
        <v/>
      </c>
      <c r="AI10" s="17">
        <f>'Assumptions &amp; Provenance'!$B$50</f>
        <v/>
      </c>
      <c r="AJ10" s="17">
        <f>'Assumptions &amp; Provenance'!$B$50</f>
        <v/>
      </c>
      <c r="AK10" s="17">
        <f>'Assumptions &amp; Provenance'!$B$50</f>
        <v/>
      </c>
    </row>
    <row r="11">
      <c r="A11" s="4" t="inlineStr">
        <is>
          <t>GST payable</t>
        </is>
      </c>
      <c r="B11" s="17">
        <f>'Assumptions &amp; Provenance'!$B$51</f>
        <v/>
      </c>
      <c r="C11" s="17">
        <f>'Assumptions &amp; Provenance'!$B$51</f>
        <v/>
      </c>
      <c r="D11" s="17">
        <f>'Assumptions &amp; Provenance'!$B$51</f>
        <v/>
      </c>
      <c r="E11" s="17">
        <f>'Assumptions &amp; Provenance'!$B$51</f>
        <v/>
      </c>
      <c r="F11" s="17">
        <f>'Assumptions &amp; Provenance'!$B$51</f>
        <v/>
      </c>
      <c r="G11" s="17">
        <f>'Assumptions &amp; Provenance'!$B$51</f>
        <v/>
      </c>
      <c r="H11" s="17">
        <f>'Assumptions &amp; Provenance'!$B$51</f>
        <v/>
      </c>
      <c r="I11" s="17">
        <f>'Assumptions &amp; Provenance'!$B$51</f>
        <v/>
      </c>
      <c r="J11" s="17">
        <f>'Assumptions &amp; Provenance'!$B$51</f>
        <v/>
      </c>
      <c r="K11" s="17">
        <f>'Assumptions &amp; Provenance'!$B$51</f>
        <v/>
      </c>
      <c r="L11" s="17">
        <f>'Assumptions &amp; Provenance'!$B$51</f>
        <v/>
      </c>
      <c r="M11" s="17">
        <f>'Assumptions &amp; Provenance'!$B$51</f>
        <v/>
      </c>
      <c r="N11" s="17">
        <f>'Assumptions &amp; Provenance'!$B$51</f>
        <v/>
      </c>
      <c r="O11" s="17">
        <f>'Assumptions &amp; Provenance'!$B$51</f>
        <v/>
      </c>
      <c r="P11" s="17">
        <f>'Assumptions &amp; Provenance'!$B$51</f>
        <v/>
      </c>
      <c r="Q11" s="17">
        <f>'Assumptions &amp; Provenance'!$B$51</f>
        <v/>
      </c>
      <c r="R11" s="17">
        <f>'Assumptions &amp; Provenance'!$B$51</f>
        <v/>
      </c>
      <c r="S11" s="17">
        <f>'Assumptions &amp; Provenance'!$B$51</f>
        <v/>
      </c>
      <c r="T11" s="17">
        <f>'Assumptions &amp; Provenance'!$B$51</f>
        <v/>
      </c>
      <c r="U11" s="17">
        <f>'Assumptions &amp; Provenance'!$B$51</f>
        <v/>
      </c>
      <c r="V11" s="17">
        <f>'Assumptions &amp; Provenance'!$B$51</f>
        <v/>
      </c>
      <c r="W11" s="17">
        <f>'Assumptions &amp; Provenance'!$B$51</f>
        <v/>
      </c>
      <c r="X11" s="17">
        <f>'Assumptions &amp; Provenance'!$B$51</f>
        <v/>
      </c>
      <c r="Y11" s="17">
        <f>'Assumptions &amp; Provenance'!$B$51</f>
        <v/>
      </c>
      <c r="Z11" s="17">
        <f>'Assumptions &amp; Provenance'!$B$51</f>
        <v/>
      </c>
      <c r="AA11" s="17">
        <f>'Assumptions &amp; Provenance'!$B$51</f>
        <v/>
      </c>
      <c r="AB11" s="17">
        <f>'Assumptions &amp; Provenance'!$B$51</f>
        <v/>
      </c>
      <c r="AC11" s="17">
        <f>'Assumptions &amp; Provenance'!$B$51</f>
        <v/>
      </c>
      <c r="AD11" s="17">
        <f>'Assumptions &amp; Provenance'!$B$51</f>
        <v/>
      </c>
      <c r="AE11" s="17">
        <f>'Assumptions &amp; Provenance'!$B$51</f>
        <v/>
      </c>
      <c r="AF11" s="17">
        <f>'Assumptions &amp; Provenance'!$B$51</f>
        <v/>
      </c>
      <c r="AG11" s="17">
        <f>'Assumptions &amp; Provenance'!$B$51</f>
        <v/>
      </c>
      <c r="AH11" s="17">
        <f>'Assumptions &amp; Provenance'!$B$51</f>
        <v/>
      </c>
      <c r="AI11" s="17">
        <f>'Assumptions &amp; Provenance'!$B$51</f>
        <v/>
      </c>
      <c r="AJ11" s="17">
        <f>'Assumptions &amp; Provenance'!$B$51</f>
        <v/>
      </c>
      <c r="AK11" s="17">
        <f>'Assumptions &amp; Provenance'!$B$51</f>
        <v/>
      </c>
    </row>
    <row r="12">
      <c r="A12" s="4" t="inlineStr">
        <is>
          <t>Debt (SEFA outstanding)</t>
        </is>
      </c>
      <c r="B12" s="17">
        <f>IF(1&gt;='Investment &amp; Financing'!$B$25,'Investment &amp; Financing'!$B$26-'Investment &amp; Financing'!$B$28*MAX(0,1-'Investment &amp; Financing'!$B$25),0)</f>
        <v/>
      </c>
      <c r="C12" s="17">
        <f>IF(2&gt;='Investment &amp; Financing'!$B$25,'Investment &amp; Financing'!$B$26-'Investment &amp; Financing'!$B$28*MAX(0,2-'Investment &amp; Financing'!$B$25),0)</f>
        <v/>
      </c>
      <c r="D12" s="17">
        <f>IF(3&gt;='Investment &amp; Financing'!$B$25,'Investment &amp; Financing'!$B$26-'Investment &amp; Financing'!$B$28*MAX(0,3-'Investment &amp; Financing'!$B$25),0)</f>
        <v/>
      </c>
      <c r="E12" s="17">
        <f>IF(4&gt;='Investment &amp; Financing'!$B$25,'Investment &amp; Financing'!$B$26-'Investment &amp; Financing'!$B$28*MAX(0,4-'Investment &amp; Financing'!$B$25),0)</f>
        <v/>
      </c>
      <c r="F12" s="17">
        <f>IF(5&gt;='Investment &amp; Financing'!$B$25,'Investment &amp; Financing'!$B$26-'Investment &amp; Financing'!$B$28*MAX(0,5-'Investment &amp; Financing'!$B$25),0)</f>
        <v/>
      </c>
      <c r="G12" s="17">
        <f>IF(6&gt;='Investment &amp; Financing'!$B$25,'Investment &amp; Financing'!$B$26-'Investment &amp; Financing'!$B$28*MAX(0,6-'Investment &amp; Financing'!$B$25),0)</f>
        <v/>
      </c>
      <c r="H12" s="17">
        <f>IF(7&gt;='Investment &amp; Financing'!$B$25,'Investment &amp; Financing'!$B$26-'Investment &amp; Financing'!$B$28*MAX(0,7-'Investment &amp; Financing'!$B$25),0)</f>
        <v/>
      </c>
      <c r="I12" s="17">
        <f>IF(8&gt;='Investment &amp; Financing'!$B$25,'Investment &amp; Financing'!$B$26-'Investment &amp; Financing'!$B$28*MAX(0,8-'Investment &amp; Financing'!$B$25),0)</f>
        <v/>
      </c>
      <c r="J12" s="17">
        <f>IF(9&gt;='Investment &amp; Financing'!$B$25,'Investment &amp; Financing'!$B$26-'Investment &amp; Financing'!$B$28*MAX(0,9-'Investment &amp; Financing'!$B$25),0)</f>
        <v/>
      </c>
      <c r="K12" s="17">
        <f>IF(10&gt;='Investment &amp; Financing'!$B$25,'Investment &amp; Financing'!$B$26-'Investment &amp; Financing'!$B$28*MAX(0,10-'Investment &amp; Financing'!$B$25),0)</f>
        <v/>
      </c>
      <c r="L12" s="17">
        <f>IF(11&gt;='Investment &amp; Financing'!$B$25,'Investment &amp; Financing'!$B$26-'Investment &amp; Financing'!$B$28*MAX(0,11-'Investment &amp; Financing'!$B$25),0)</f>
        <v/>
      </c>
      <c r="M12" s="17">
        <f>IF(12&gt;='Investment &amp; Financing'!$B$25,'Investment &amp; Financing'!$B$26-'Investment &amp; Financing'!$B$28*MAX(0,12-'Investment &amp; Financing'!$B$25),0)</f>
        <v/>
      </c>
      <c r="N12" s="17">
        <f>IF(13&gt;='Investment &amp; Financing'!$B$25,'Investment &amp; Financing'!$B$26-'Investment &amp; Financing'!$B$28*MAX(0,13-'Investment &amp; Financing'!$B$25),0)</f>
        <v/>
      </c>
      <c r="O12" s="17">
        <f>IF(14&gt;='Investment &amp; Financing'!$B$25,'Investment &amp; Financing'!$B$26-'Investment &amp; Financing'!$B$28*MAX(0,14-'Investment &amp; Financing'!$B$25),0)</f>
        <v/>
      </c>
      <c r="P12" s="17">
        <f>IF(15&gt;='Investment &amp; Financing'!$B$25,'Investment &amp; Financing'!$B$26-'Investment &amp; Financing'!$B$28*MAX(0,15-'Investment &amp; Financing'!$B$25),0)</f>
        <v/>
      </c>
      <c r="Q12" s="17">
        <f>IF(16&gt;='Investment &amp; Financing'!$B$25,'Investment &amp; Financing'!$B$26-'Investment &amp; Financing'!$B$28*MAX(0,16-'Investment &amp; Financing'!$B$25),0)</f>
        <v/>
      </c>
      <c r="R12" s="17">
        <f>IF(17&gt;='Investment &amp; Financing'!$B$25,'Investment &amp; Financing'!$B$26-'Investment &amp; Financing'!$B$28*MAX(0,17-'Investment &amp; Financing'!$B$25),0)</f>
        <v/>
      </c>
      <c r="S12" s="17">
        <f>IF(18&gt;='Investment &amp; Financing'!$B$25,'Investment &amp; Financing'!$B$26-'Investment &amp; Financing'!$B$28*MAX(0,18-'Investment &amp; Financing'!$B$25),0)</f>
        <v/>
      </c>
      <c r="T12" s="17">
        <f>IF(19&gt;='Investment &amp; Financing'!$B$25,'Investment &amp; Financing'!$B$26-'Investment &amp; Financing'!$B$28*MAX(0,19-'Investment &amp; Financing'!$B$25),0)</f>
        <v/>
      </c>
      <c r="U12" s="17">
        <f>IF(20&gt;='Investment &amp; Financing'!$B$25,'Investment &amp; Financing'!$B$26-'Investment &amp; Financing'!$B$28*MAX(0,20-'Investment &amp; Financing'!$B$25),0)</f>
        <v/>
      </c>
      <c r="V12" s="17">
        <f>IF(21&gt;='Investment &amp; Financing'!$B$25,'Investment &amp; Financing'!$B$26-'Investment &amp; Financing'!$B$28*MAX(0,21-'Investment &amp; Financing'!$B$25),0)</f>
        <v/>
      </c>
      <c r="W12" s="17">
        <f>IF(22&gt;='Investment &amp; Financing'!$B$25,'Investment &amp; Financing'!$B$26-'Investment &amp; Financing'!$B$28*MAX(0,22-'Investment &amp; Financing'!$B$25),0)</f>
        <v/>
      </c>
      <c r="X12" s="17">
        <f>IF(23&gt;='Investment &amp; Financing'!$B$25,'Investment &amp; Financing'!$B$26-'Investment &amp; Financing'!$B$28*MAX(0,23-'Investment &amp; Financing'!$B$25),0)</f>
        <v/>
      </c>
      <c r="Y12" s="17">
        <f>IF(24&gt;='Investment &amp; Financing'!$B$25,'Investment &amp; Financing'!$B$26-'Investment &amp; Financing'!$B$28*MAX(0,24-'Investment &amp; Financing'!$B$25),0)</f>
        <v/>
      </c>
      <c r="Z12" s="17">
        <f>IF(25&gt;='Investment &amp; Financing'!$B$25,'Investment &amp; Financing'!$B$26-'Investment &amp; Financing'!$B$28*MAX(0,25-'Investment &amp; Financing'!$B$25),0)</f>
        <v/>
      </c>
      <c r="AA12" s="17">
        <f>IF(26&gt;='Investment &amp; Financing'!$B$25,'Investment &amp; Financing'!$B$26-'Investment &amp; Financing'!$B$28*MAX(0,26-'Investment &amp; Financing'!$B$25),0)</f>
        <v/>
      </c>
      <c r="AB12" s="17">
        <f>IF(27&gt;='Investment &amp; Financing'!$B$25,'Investment &amp; Financing'!$B$26-'Investment &amp; Financing'!$B$28*MAX(0,27-'Investment &amp; Financing'!$B$25),0)</f>
        <v/>
      </c>
      <c r="AC12" s="17">
        <f>IF(28&gt;='Investment &amp; Financing'!$B$25,'Investment &amp; Financing'!$B$26-'Investment &amp; Financing'!$B$28*MAX(0,28-'Investment &amp; Financing'!$B$25),0)</f>
        <v/>
      </c>
      <c r="AD12" s="17">
        <f>IF(29&gt;='Investment &amp; Financing'!$B$25,'Investment &amp; Financing'!$B$26-'Investment &amp; Financing'!$B$28*MAX(0,29-'Investment &amp; Financing'!$B$25),0)</f>
        <v/>
      </c>
      <c r="AE12" s="17">
        <f>IF(30&gt;='Investment &amp; Financing'!$B$25,'Investment &amp; Financing'!$B$26-'Investment &amp; Financing'!$B$28*MAX(0,30-'Investment &amp; Financing'!$B$25),0)</f>
        <v/>
      </c>
      <c r="AF12" s="17">
        <f>IF(31&gt;='Investment &amp; Financing'!$B$25,'Investment &amp; Financing'!$B$26-'Investment &amp; Financing'!$B$28*MAX(0,31-'Investment &amp; Financing'!$B$25),0)</f>
        <v/>
      </c>
      <c r="AG12" s="17">
        <f>IF(32&gt;='Investment &amp; Financing'!$B$25,'Investment &amp; Financing'!$B$26-'Investment &amp; Financing'!$B$28*MAX(0,32-'Investment &amp; Financing'!$B$25),0)</f>
        <v/>
      </c>
      <c r="AH12" s="17">
        <f>IF(33&gt;='Investment &amp; Financing'!$B$25,'Investment &amp; Financing'!$B$26-'Investment &amp; Financing'!$B$28*MAX(0,33-'Investment &amp; Financing'!$B$25),0)</f>
        <v/>
      </c>
      <c r="AI12" s="17">
        <f>IF(34&gt;='Investment &amp; Financing'!$B$25,'Investment &amp; Financing'!$B$26-'Investment &amp; Financing'!$B$28*MAX(0,34-'Investment &amp; Financing'!$B$25),0)</f>
        <v/>
      </c>
      <c r="AJ12" s="17">
        <f>IF(35&gt;='Investment &amp; Financing'!$B$25,'Investment &amp; Financing'!$B$26-'Investment &amp; Financing'!$B$28*MAX(0,35-'Investment &amp; Financing'!$B$25),0)</f>
        <v/>
      </c>
      <c r="AK12" s="17">
        <f>IF(36&gt;='Investment &amp; Financing'!$B$25,'Investment &amp; Financing'!$B$26-'Investment &amp; Financing'!$B$28*MAX(0,36-'Investment &amp; Financing'!$B$25),0)</f>
        <v/>
      </c>
    </row>
    <row r="13">
      <c r="A13" s="13" t="inlineStr">
        <is>
          <t>TOTAL LIABILITIES</t>
        </is>
      </c>
      <c r="B13" s="17">
        <f>SUM(B10:B12)</f>
        <v/>
      </c>
      <c r="C13" s="17">
        <f>SUM(C10:C12)</f>
        <v/>
      </c>
      <c r="D13" s="17">
        <f>SUM(D10:D12)</f>
        <v/>
      </c>
      <c r="E13" s="17">
        <f>SUM(E10:E12)</f>
        <v/>
      </c>
      <c r="F13" s="17">
        <f>SUM(F10:F12)</f>
        <v/>
      </c>
      <c r="G13" s="17">
        <f>SUM(G10:G12)</f>
        <v/>
      </c>
      <c r="H13" s="17">
        <f>SUM(H10:H12)</f>
        <v/>
      </c>
      <c r="I13" s="17">
        <f>SUM(I10:I12)</f>
        <v/>
      </c>
      <c r="J13" s="17">
        <f>SUM(J10:J12)</f>
        <v/>
      </c>
      <c r="K13" s="17">
        <f>SUM(K10:K12)</f>
        <v/>
      </c>
      <c r="L13" s="17">
        <f>SUM(L10:L12)</f>
        <v/>
      </c>
      <c r="M13" s="17">
        <f>SUM(M10:M12)</f>
        <v/>
      </c>
      <c r="N13" s="17">
        <f>SUM(N10:N12)</f>
        <v/>
      </c>
      <c r="O13" s="17">
        <f>SUM(O10:O12)</f>
        <v/>
      </c>
      <c r="P13" s="17">
        <f>SUM(P10:P12)</f>
        <v/>
      </c>
      <c r="Q13" s="17">
        <f>SUM(Q10:Q12)</f>
        <v/>
      </c>
      <c r="R13" s="17">
        <f>SUM(R10:R12)</f>
        <v/>
      </c>
      <c r="S13" s="17">
        <f>SUM(S10:S12)</f>
        <v/>
      </c>
      <c r="T13" s="17">
        <f>SUM(T10:T12)</f>
        <v/>
      </c>
      <c r="U13" s="17">
        <f>SUM(U10:U12)</f>
        <v/>
      </c>
      <c r="V13" s="17">
        <f>SUM(V10:V12)</f>
        <v/>
      </c>
      <c r="W13" s="17">
        <f>SUM(W10:W12)</f>
        <v/>
      </c>
      <c r="X13" s="17">
        <f>SUM(X10:X12)</f>
        <v/>
      </c>
      <c r="Y13" s="17">
        <f>SUM(Y10:Y12)</f>
        <v/>
      </c>
      <c r="Z13" s="17">
        <f>SUM(Z10:Z12)</f>
        <v/>
      </c>
      <c r="AA13" s="17">
        <f>SUM(AA10:AA12)</f>
        <v/>
      </c>
      <c r="AB13" s="17">
        <f>SUM(AB10:AB12)</f>
        <v/>
      </c>
      <c r="AC13" s="17">
        <f>SUM(AC10:AC12)</f>
        <v/>
      </c>
      <c r="AD13" s="17">
        <f>SUM(AD10:AD12)</f>
        <v/>
      </c>
      <c r="AE13" s="17">
        <f>SUM(AE10:AE12)</f>
        <v/>
      </c>
      <c r="AF13" s="17">
        <f>SUM(AF10:AF12)</f>
        <v/>
      </c>
      <c r="AG13" s="17">
        <f>SUM(AG10:AG12)</f>
        <v/>
      </c>
      <c r="AH13" s="17">
        <f>SUM(AH10:AH12)</f>
        <v/>
      </c>
      <c r="AI13" s="17">
        <f>SUM(AI10:AI12)</f>
        <v/>
      </c>
      <c r="AJ13" s="17">
        <f>SUM(AJ10:AJ12)</f>
        <v/>
      </c>
      <c r="AK13" s="17">
        <f>SUM(AK10:AK12)</f>
        <v/>
      </c>
    </row>
    <row r="15">
      <c r="A15" s="4" t="inlineStr">
        <is>
          <t>Opening equity</t>
        </is>
      </c>
      <c r="B15" s="17">
        <f>$B$23</f>
        <v/>
      </c>
      <c r="C15" s="17">
        <f>$B$23</f>
        <v/>
      </c>
      <c r="D15" s="17">
        <f>$B$23</f>
        <v/>
      </c>
      <c r="E15" s="17">
        <f>$B$23</f>
        <v/>
      </c>
      <c r="F15" s="17">
        <f>$B$23</f>
        <v/>
      </c>
      <c r="G15" s="17">
        <f>$B$23</f>
        <v/>
      </c>
      <c r="H15" s="17">
        <f>$B$23</f>
        <v/>
      </c>
      <c r="I15" s="17">
        <f>$B$23</f>
        <v/>
      </c>
      <c r="J15" s="17">
        <f>$B$23</f>
        <v/>
      </c>
      <c r="K15" s="17">
        <f>$B$23</f>
        <v/>
      </c>
      <c r="L15" s="17">
        <f>$B$23</f>
        <v/>
      </c>
      <c r="M15" s="17">
        <f>$B$23</f>
        <v/>
      </c>
      <c r="N15" s="17">
        <f>$B$23</f>
        <v/>
      </c>
      <c r="O15" s="17">
        <f>$B$23</f>
        <v/>
      </c>
      <c r="P15" s="17">
        <f>$B$23</f>
        <v/>
      </c>
      <c r="Q15" s="17">
        <f>$B$23</f>
        <v/>
      </c>
      <c r="R15" s="17">
        <f>$B$23</f>
        <v/>
      </c>
      <c r="S15" s="17">
        <f>$B$23</f>
        <v/>
      </c>
      <c r="T15" s="17">
        <f>$B$23</f>
        <v/>
      </c>
      <c r="U15" s="17">
        <f>$B$23</f>
        <v/>
      </c>
      <c r="V15" s="17">
        <f>$B$23</f>
        <v/>
      </c>
      <c r="W15" s="17">
        <f>$B$23</f>
        <v/>
      </c>
      <c r="X15" s="17">
        <f>$B$23</f>
        <v/>
      </c>
      <c r="Y15" s="17">
        <f>$B$23</f>
        <v/>
      </c>
      <c r="Z15" s="17">
        <f>$B$23</f>
        <v/>
      </c>
      <c r="AA15" s="17">
        <f>$B$23</f>
        <v/>
      </c>
      <c r="AB15" s="17">
        <f>$B$23</f>
        <v/>
      </c>
      <c r="AC15" s="17">
        <f>$B$23</f>
        <v/>
      </c>
      <c r="AD15" s="17">
        <f>$B$23</f>
        <v/>
      </c>
      <c r="AE15" s="17">
        <f>$B$23</f>
        <v/>
      </c>
      <c r="AF15" s="17">
        <f>$B$23</f>
        <v/>
      </c>
      <c r="AG15" s="17">
        <f>$B$23</f>
        <v/>
      </c>
      <c r="AH15" s="17">
        <f>$B$23</f>
        <v/>
      </c>
      <c r="AI15" s="17">
        <f>$B$23</f>
        <v/>
      </c>
      <c r="AJ15" s="17">
        <f>$B$23</f>
        <v/>
      </c>
      <c r="AK15" s="17">
        <f>$B$23</f>
        <v/>
      </c>
    </row>
    <row r="16">
      <c r="A16" s="4" t="inlineStr">
        <is>
          <t>Retained earnings (cum P&amp;L net)</t>
        </is>
      </c>
      <c r="B16" s="17">
        <f>'P&amp;L'!B35</f>
        <v/>
      </c>
      <c r="C16" s="17">
        <f>'P&amp;L'!C35</f>
        <v/>
      </c>
      <c r="D16" s="17">
        <f>'P&amp;L'!D35</f>
        <v/>
      </c>
      <c r="E16" s="17">
        <f>'P&amp;L'!E35</f>
        <v/>
      </c>
      <c r="F16" s="17">
        <f>'P&amp;L'!F35</f>
        <v/>
      </c>
      <c r="G16" s="17">
        <f>'P&amp;L'!G35</f>
        <v/>
      </c>
      <c r="H16" s="17">
        <f>'P&amp;L'!H35</f>
        <v/>
      </c>
      <c r="I16" s="17">
        <f>'P&amp;L'!I35</f>
        <v/>
      </c>
      <c r="J16" s="17">
        <f>'P&amp;L'!J35</f>
        <v/>
      </c>
      <c r="K16" s="17">
        <f>'P&amp;L'!K35</f>
        <v/>
      </c>
      <c r="L16" s="17">
        <f>'P&amp;L'!L35</f>
        <v/>
      </c>
      <c r="M16" s="17">
        <f>'P&amp;L'!M35</f>
        <v/>
      </c>
      <c r="N16" s="17">
        <f>'P&amp;L'!N35</f>
        <v/>
      </c>
      <c r="O16" s="17">
        <f>'P&amp;L'!O35</f>
        <v/>
      </c>
      <c r="P16" s="17">
        <f>'P&amp;L'!P35</f>
        <v/>
      </c>
      <c r="Q16" s="17">
        <f>'P&amp;L'!Q35</f>
        <v/>
      </c>
      <c r="R16" s="17">
        <f>'P&amp;L'!R35</f>
        <v/>
      </c>
      <c r="S16" s="17">
        <f>'P&amp;L'!S35</f>
        <v/>
      </c>
      <c r="T16" s="17">
        <f>'P&amp;L'!T35</f>
        <v/>
      </c>
      <c r="U16" s="17">
        <f>'P&amp;L'!U35</f>
        <v/>
      </c>
      <c r="V16" s="17">
        <f>'P&amp;L'!V35</f>
        <v/>
      </c>
      <c r="W16" s="17">
        <f>'P&amp;L'!W35</f>
        <v/>
      </c>
      <c r="X16" s="17">
        <f>'P&amp;L'!X35</f>
        <v/>
      </c>
      <c r="Y16" s="17">
        <f>'P&amp;L'!Y35</f>
        <v/>
      </c>
      <c r="Z16" s="17">
        <f>'P&amp;L'!Z35</f>
        <v/>
      </c>
      <c r="AA16" s="17">
        <f>'P&amp;L'!AA35</f>
        <v/>
      </c>
      <c r="AB16" s="17">
        <f>'P&amp;L'!AB35</f>
        <v/>
      </c>
      <c r="AC16" s="17">
        <f>'P&amp;L'!AC35</f>
        <v/>
      </c>
      <c r="AD16" s="17">
        <f>'P&amp;L'!AD35</f>
        <v/>
      </c>
      <c r="AE16" s="17">
        <f>'P&amp;L'!AE35</f>
        <v/>
      </c>
      <c r="AF16" s="17">
        <f>'P&amp;L'!AF35</f>
        <v/>
      </c>
      <c r="AG16" s="17">
        <f>'P&amp;L'!AG35</f>
        <v/>
      </c>
      <c r="AH16" s="17">
        <f>'P&amp;L'!AH35</f>
        <v/>
      </c>
      <c r="AI16" s="17">
        <f>'P&amp;L'!AI35</f>
        <v/>
      </c>
      <c r="AJ16" s="17">
        <f>'P&amp;L'!AJ35</f>
        <v/>
      </c>
      <c r="AK16" s="17">
        <f>'P&amp;L'!AK35</f>
        <v/>
      </c>
    </row>
    <row r="17">
      <c r="A17" s="4" t="inlineStr">
        <is>
          <t>Capital injections (grants/equity)</t>
        </is>
      </c>
      <c r="B17" s="17">
        <f>0</f>
        <v/>
      </c>
      <c r="C17" s="17">
        <f>0</f>
        <v/>
      </c>
      <c r="D17" s="17">
        <f>0</f>
        <v/>
      </c>
      <c r="E17" s="17">
        <f>0</f>
        <v/>
      </c>
      <c r="F17" s="17">
        <f>0</f>
        <v/>
      </c>
      <c r="G17" s="17">
        <f>0</f>
        <v/>
      </c>
      <c r="H17" s="17">
        <f>0</f>
        <v/>
      </c>
      <c r="I17" s="17">
        <f>0</f>
        <v/>
      </c>
      <c r="J17" s="17">
        <f>0</f>
        <v/>
      </c>
      <c r="K17" s="17">
        <f>0</f>
        <v/>
      </c>
      <c r="L17" s="17">
        <f>0</f>
        <v/>
      </c>
      <c r="M17" s="17">
        <f>0</f>
        <v/>
      </c>
      <c r="N17" s="17">
        <f>0</f>
        <v/>
      </c>
      <c r="O17" s="17">
        <f>0</f>
        <v/>
      </c>
      <c r="P17" s="17">
        <f>0</f>
        <v/>
      </c>
      <c r="Q17" s="17">
        <f>0</f>
        <v/>
      </c>
      <c r="R17" s="17">
        <f>0</f>
        <v/>
      </c>
      <c r="S17" s="17">
        <f>0</f>
        <v/>
      </c>
      <c r="T17" s="17">
        <f>0</f>
        <v/>
      </c>
      <c r="U17" s="17">
        <f>0</f>
        <v/>
      </c>
      <c r="V17" s="17">
        <f>0</f>
        <v/>
      </c>
      <c r="W17" s="17">
        <f>0</f>
        <v/>
      </c>
      <c r="X17" s="17">
        <f>0</f>
        <v/>
      </c>
      <c r="Y17" s="17">
        <f>0</f>
        <v/>
      </c>
      <c r="Z17" s="17">
        <f>0</f>
        <v/>
      </c>
      <c r="AA17" s="17">
        <f>0</f>
        <v/>
      </c>
      <c r="AB17" s="17">
        <f>0</f>
        <v/>
      </c>
      <c r="AC17" s="17">
        <f>0</f>
        <v/>
      </c>
      <c r="AD17" s="17">
        <f>0</f>
        <v/>
      </c>
      <c r="AE17" s="17">
        <f>0</f>
        <v/>
      </c>
      <c r="AF17" s="17">
        <f>0</f>
        <v/>
      </c>
      <c r="AG17" s="17">
        <f>0</f>
        <v/>
      </c>
      <c r="AH17" s="17">
        <f>0</f>
        <v/>
      </c>
      <c r="AI17" s="17">
        <f>0</f>
        <v/>
      </c>
      <c r="AJ17" s="17">
        <f>0</f>
        <v/>
      </c>
      <c r="AK17" s="17">
        <f>0</f>
        <v/>
      </c>
    </row>
    <row r="18">
      <c r="A18" s="13" t="inlineStr">
        <is>
          <t>TOTAL EQUITY</t>
        </is>
      </c>
      <c r="B18" s="17">
        <f>B15+B16+B17</f>
        <v/>
      </c>
      <c r="C18" s="17">
        <f>C15+C16+C17</f>
        <v/>
      </c>
      <c r="D18" s="17">
        <f>D15+D16+D17</f>
        <v/>
      </c>
      <c r="E18" s="17">
        <f>E15+E16+E17</f>
        <v/>
      </c>
      <c r="F18" s="17">
        <f>F15+F16+F17</f>
        <v/>
      </c>
      <c r="G18" s="17">
        <f>G15+G16+G17</f>
        <v/>
      </c>
      <c r="H18" s="17">
        <f>H15+H16+H17</f>
        <v/>
      </c>
      <c r="I18" s="17">
        <f>I15+I16+I17</f>
        <v/>
      </c>
      <c r="J18" s="17">
        <f>J15+J16+J17</f>
        <v/>
      </c>
      <c r="K18" s="17">
        <f>K15+K16+K17</f>
        <v/>
      </c>
      <c r="L18" s="17">
        <f>L15+L16+L17</f>
        <v/>
      </c>
      <c r="M18" s="17">
        <f>M15+M16+M17</f>
        <v/>
      </c>
      <c r="N18" s="17">
        <f>N15+N16+N17</f>
        <v/>
      </c>
      <c r="O18" s="17">
        <f>O15+O16+O17</f>
        <v/>
      </c>
      <c r="P18" s="17">
        <f>P15+P16+P17</f>
        <v/>
      </c>
      <c r="Q18" s="17">
        <f>Q15+Q16+Q17</f>
        <v/>
      </c>
      <c r="R18" s="17">
        <f>R15+R16+R17</f>
        <v/>
      </c>
      <c r="S18" s="17">
        <f>S15+S16+S17</f>
        <v/>
      </c>
      <c r="T18" s="17">
        <f>T15+T16+T17</f>
        <v/>
      </c>
      <c r="U18" s="17">
        <f>U15+U16+U17</f>
        <v/>
      </c>
      <c r="V18" s="17">
        <f>V15+V16+V17</f>
        <v/>
      </c>
      <c r="W18" s="17">
        <f>W15+W16+W17</f>
        <v/>
      </c>
      <c r="X18" s="17">
        <f>X15+X16+X17</f>
        <v/>
      </c>
      <c r="Y18" s="17">
        <f>Y15+Y16+Y17</f>
        <v/>
      </c>
      <c r="Z18" s="17">
        <f>Z15+Z16+Z17</f>
        <v/>
      </c>
      <c r="AA18" s="17">
        <f>AA15+AA16+AA17</f>
        <v/>
      </c>
      <c r="AB18" s="17">
        <f>AB15+AB16+AB17</f>
        <v/>
      </c>
      <c r="AC18" s="17">
        <f>AC15+AC16+AC17</f>
        <v/>
      </c>
      <c r="AD18" s="17">
        <f>AD15+AD16+AD17</f>
        <v/>
      </c>
      <c r="AE18" s="17">
        <f>AE15+AE16+AE17</f>
        <v/>
      </c>
      <c r="AF18" s="17">
        <f>AF15+AF16+AF17</f>
        <v/>
      </c>
      <c r="AG18" s="17">
        <f>AG15+AG16+AG17</f>
        <v/>
      </c>
      <c r="AH18" s="17">
        <f>AH15+AH16+AH17</f>
        <v/>
      </c>
      <c r="AI18" s="17">
        <f>AI15+AI16+AI17</f>
        <v/>
      </c>
      <c r="AJ18" s="17">
        <f>AJ15+AJ16+AJ17</f>
        <v/>
      </c>
      <c r="AK18" s="17">
        <f>AK15+AK16+AK17</f>
        <v/>
      </c>
    </row>
    <row r="20">
      <c r="A20" s="13" t="inlineStr">
        <is>
          <t>BALANCE CHECK (TA - TL - TE)</t>
        </is>
      </c>
      <c r="B20" s="21">
        <f>B8-B13-B18</f>
        <v/>
      </c>
      <c r="C20" s="21">
        <f>C8-C13-C18</f>
        <v/>
      </c>
      <c r="D20" s="21">
        <f>D8-D13-D18</f>
        <v/>
      </c>
      <c r="E20" s="21">
        <f>E8-E13-E18</f>
        <v/>
      </c>
      <c r="F20" s="21">
        <f>F8-F13-F18</f>
        <v/>
      </c>
      <c r="G20" s="21">
        <f>G8-G13-G18</f>
        <v/>
      </c>
      <c r="H20" s="21">
        <f>H8-H13-H18</f>
        <v/>
      </c>
      <c r="I20" s="21">
        <f>I8-I13-I18</f>
        <v/>
      </c>
      <c r="J20" s="21">
        <f>J8-J13-J18</f>
        <v/>
      </c>
      <c r="K20" s="21">
        <f>K8-K13-K18</f>
        <v/>
      </c>
      <c r="L20" s="21">
        <f>L8-L13-L18</f>
        <v/>
      </c>
      <c r="M20" s="21">
        <f>M8-M13-M18</f>
        <v/>
      </c>
      <c r="N20" s="21">
        <f>N8-N13-N18</f>
        <v/>
      </c>
      <c r="O20" s="21">
        <f>O8-O13-O18</f>
        <v/>
      </c>
      <c r="P20" s="21">
        <f>P8-P13-P18</f>
        <v/>
      </c>
      <c r="Q20" s="21">
        <f>Q8-Q13-Q18</f>
        <v/>
      </c>
      <c r="R20" s="21">
        <f>R8-R13-R18</f>
        <v/>
      </c>
      <c r="S20" s="21">
        <f>S8-S13-S18</f>
        <v/>
      </c>
      <c r="T20" s="21">
        <f>T8-T13-T18</f>
        <v/>
      </c>
      <c r="U20" s="21">
        <f>U8-U13-U18</f>
        <v/>
      </c>
      <c r="V20" s="21">
        <f>V8-V13-V18</f>
        <v/>
      </c>
      <c r="W20" s="21">
        <f>W8-W13-W18</f>
        <v/>
      </c>
      <c r="X20" s="21">
        <f>X8-X13-X18</f>
        <v/>
      </c>
      <c r="Y20" s="21">
        <f>Y8-Y13-Y18</f>
        <v/>
      </c>
      <c r="Z20" s="21">
        <f>Z8-Z13-Z18</f>
        <v/>
      </c>
      <c r="AA20" s="21">
        <f>AA8-AA13-AA18</f>
        <v/>
      </c>
      <c r="AB20" s="21">
        <f>AB8-AB13-AB18</f>
        <v/>
      </c>
      <c r="AC20" s="21">
        <f>AC8-AC13-AC18</f>
        <v/>
      </c>
      <c r="AD20" s="21">
        <f>AD8-AD13-AD18</f>
        <v/>
      </c>
      <c r="AE20" s="21">
        <f>AE8-AE13-AE18</f>
        <v/>
      </c>
      <c r="AF20" s="21">
        <f>AF8-AF13-AF18</f>
        <v/>
      </c>
      <c r="AG20" s="21">
        <f>AG8-AG13-AG18</f>
        <v/>
      </c>
      <c r="AH20" s="21">
        <f>AH8-AH13-AH18</f>
        <v/>
      </c>
      <c r="AI20" s="21">
        <f>AI8-AI13-AI18</f>
        <v/>
      </c>
      <c r="AJ20" s="21">
        <f>AJ8-AJ13-AJ18</f>
        <v/>
      </c>
      <c r="AK20" s="21">
        <f>AK8-AK13-AK18</f>
        <v/>
      </c>
    </row>
    <row r="22">
      <c r="A22" s="8" t="inlineStr">
        <is>
          <t>Opening equity plug (so M1 opening balances)</t>
        </is>
      </c>
    </row>
    <row r="23">
      <c r="A23" t="inlineStr">
        <is>
          <t>Opening equity =</t>
        </is>
      </c>
      <c r="B23" s="6">
        <f>'Control Panel'!$B$27+'Assumptions &amp; Provenance'!$B$47+50000+'Assumptions &amp; Provenance'!$B$49-'Assumptions &amp; Provenance'!$B$50-'Assumptions &amp; Provenance'!$B$51</f>
        <v/>
      </c>
    </row>
    <row r="24">
      <c r="A24" s="4" t="inlineStr">
        <is>
          <t>Seed inventory (beds-in-stock x marginal, placeholder $50K)</t>
        </is>
      </c>
      <c r="B24" s="9" t="n">
        <v>50000</v>
      </c>
      <c r="D24" s="7" t="inlineStr">
        <is>
          <t>Adjust to real standing inventory.</t>
        </is>
      </c>
    </row>
    <row r="26">
      <c r="A26" s="2" t="inlineStr">
        <is>
          <t>BALANCE CHECK must read 0 in every month. The check cell for M1 is B20 (then C20..AK20).</t>
        </is>
      </c>
    </row>
  </sheetData>
  <mergeCells count="2">
    <mergeCell ref="A26:H2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 ht="22" customHeight="1">
      <c r="A1" s="1" t="inlineStr">
        <is>
          <t>CASHFLOW 36-month — derived from P&amp;L (not hand-keyed). Closing cash -&gt; BS.</t>
        </is>
      </c>
    </row>
    <row r="2">
      <c r="A2" s="4" t="inlineStr">
        <is>
          <t>Cumulative cash trough (the headline)</t>
        </is>
      </c>
    </row>
    <row r="4">
      <c r="A4" s="8" t="inlineStr">
        <is>
          <t>Month</t>
        </is>
      </c>
      <c r="B4" s="20" t="inlineStr">
        <is>
          <t>M1</t>
        </is>
      </c>
      <c r="C4" s="20" t="inlineStr">
        <is>
          <t>M2</t>
        </is>
      </c>
      <c r="D4" s="20" t="inlineStr">
        <is>
          <t>M3</t>
        </is>
      </c>
      <c r="E4" s="20" t="inlineStr">
        <is>
          <t>M4</t>
        </is>
      </c>
      <c r="F4" s="20" t="inlineStr">
        <is>
          <t>M5</t>
        </is>
      </c>
      <c r="G4" s="20" t="inlineStr">
        <is>
          <t>M6</t>
        </is>
      </c>
      <c r="H4" s="20" t="inlineStr">
        <is>
          <t>M7</t>
        </is>
      </c>
      <c r="I4" s="20" t="inlineStr">
        <is>
          <t>M8</t>
        </is>
      </c>
      <c r="J4" s="20" t="inlineStr">
        <is>
          <t>M9</t>
        </is>
      </c>
      <c r="K4" s="20" t="inlineStr">
        <is>
          <t>M10</t>
        </is>
      </c>
      <c r="L4" s="20" t="inlineStr">
        <is>
          <t>M11</t>
        </is>
      </c>
      <c r="M4" s="20" t="inlineStr">
        <is>
          <t>M12</t>
        </is>
      </c>
      <c r="N4" s="20" t="inlineStr">
        <is>
          <t>M13</t>
        </is>
      </c>
      <c r="O4" s="20" t="inlineStr">
        <is>
          <t>M14</t>
        </is>
      </c>
      <c r="P4" s="20" t="inlineStr">
        <is>
          <t>M15</t>
        </is>
      </c>
      <c r="Q4" s="20" t="inlineStr">
        <is>
          <t>M16</t>
        </is>
      </c>
      <c r="R4" s="20" t="inlineStr">
        <is>
          <t>M17</t>
        </is>
      </c>
      <c r="S4" s="20" t="inlineStr">
        <is>
          <t>M18</t>
        </is>
      </c>
      <c r="T4" s="20" t="inlineStr">
        <is>
          <t>M19</t>
        </is>
      </c>
      <c r="U4" s="20" t="inlineStr">
        <is>
          <t>M20</t>
        </is>
      </c>
      <c r="V4" s="20" t="inlineStr">
        <is>
          <t>M21</t>
        </is>
      </c>
      <c r="W4" s="20" t="inlineStr">
        <is>
          <t>M22</t>
        </is>
      </c>
      <c r="X4" s="20" t="inlineStr">
        <is>
          <t>M23</t>
        </is>
      </c>
      <c r="Y4" s="20" t="inlineStr">
        <is>
          <t>M24</t>
        </is>
      </c>
      <c r="Z4" s="20" t="inlineStr">
        <is>
          <t>M25</t>
        </is>
      </c>
      <c r="AA4" s="20" t="inlineStr">
        <is>
          <t>M26</t>
        </is>
      </c>
      <c r="AB4" s="20" t="inlineStr">
        <is>
          <t>M27</t>
        </is>
      </c>
      <c r="AC4" s="20" t="inlineStr">
        <is>
          <t>M28</t>
        </is>
      </c>
      <c r="AD4" s="20" t="inlineStr">
        <is>
          <t>M29</t>
        </is>
      </c>
      <c r="AE4" s="20" t="inlineStr">
        <is>
          <t>M30</t>
        </is>
      </c>
      <c r="AF4" s="20" t="inlineStr">
        <is>
          <t>M31</t>
        </is>
      </c>
      <c r="AG4" s="20" t="inlineStr">
        <is>
          <t>M32</t>
        </is>
      </c>
      <c r="AH4" s="20" t="inlineStr">
        <is>
          <t>M33</t>
        </is>
      </c>
      <c r="AI4" s="20" t="inlineStr">
        <is>
          <t>M34</t>
        </is>
      </c>
      <c r="AJ4" s="20" t="inlineStr">
        <is>
          <t>M35</t>
        </is>
      </c>
      <c r="AK4" s="20" t="inlineStr">
        <is>
          <t>M36</t>
        </is>
      </c>
    </row>
    <row r="5">
      <c r="A5" s="4" t="inlineStr">
        <is>
          <t>Opening cash</t>
        </is>
      </c>
      <c r="B5" s="17">
        <f>'Control Panel'!$B$27</f>
        <v/>
      </c>
      <c r="C5" s="17">
        <f>B13</f>
        <v/>
      </c>
      <c r="D5" s="17">
        <f>C13</f>
        <v/>
      </c>
      <c r="E5" s="17">
        <f>D13</f>
        <v/>
      </c>
      <c r="F5" s="17">
        <f>E13</f>
        <v/>
      </c>
      <c r="G5" s="17">
        <f>F13</f>
        <v/>
      </c>
      <c r="H5" s="17">
        <f>G13</f>
        <v/>
      </c>
      <c r="I5" s="17">
        <f>H13</f>
        <v/>
      </c>
      <c r="J5" s="17">
        <f>I13</f>
        <v/>
      </c>
      <c r="K5" s="17">
        <f>J13</f>
        <v/>
      </c>
      <c r="L5" s="17">
        <f>K13</f>
        <v/>
      </c>
      <c r="M5" s="17">
        <f>L13</f>
        <v/>
      </c>
      <c r="N5" s="17">
        <f>M13</f>
        <v/>
      </c>
      <c r="O5" s="17">
        <f>N13</f>
        <v/>
      </c>
      <c r="P5" s="17">
        <f>O13</f>
        <v/>
      </c>
      <c r="Q5" s="17">
        <f>P13</f>
        <v/>
      </c>
      <c r="R5" s="17">
        <f>Q13</f>
        <v/>
      </c>
      <c r="S5" s="17">
        <f>R13</f>
        <v/>
      </c>
      <c r="T5" s="17">
        <f>S13</f>
        <v/>
      </c>
      <c r="U5" s="17">
        <f>T13</f>
        <v/>
      </c>
      <c r="V5" s="17">
        <f>U13</f>
        <v/>
      </c>
      <c r="W5" s="17">
        <f>V13</f>
        <v/>
      </c>
      <c r="X5" s="17">
        <f>W13</f>
        <v/>
      </c>
      <c r="Y5" s="17">
        <f>X13</f>
        <v/>
      </c>
      <c r="Z5" s="17">
        <f>Y13</f>
        <v/>
      </c>
      <c r="AA5" s="17">
        <f>Z13</f>
        <v/>
      </c>
      <c r="AB5" s="17">
        <f>AA13</f>
        <v/>
      </c>
      <c r="AC5" s="17">
        <f>AB13</f>
        <v/>
      </c>
      <c r="AD5" s="17">
        <f>AC13</f>
        <v/>
      </c>
      <c r="AE5" s="17">
        <f>AD13</f>
        <v/>
      </c>
      <c r="AF5" s="17">
        <f>AE13</f>
        <v/>
      </c>
      <c r="AG5" s="17">
        <f>AF13</f>
        <v/>
      </c>
      <c r="AH5" s="17">
        <f>AG13</f>
        <v/>
      </c>
      <c r="AI5" s="17">
        <f>AH13</f>
        <v/>
      </c>
      <c r="AJ5" s="17">
        <f>AI13</f>
        <v/>
      </c>
      <c r="AK5" s="17">
        <f>AJ13</f>
        <v/>
      </c>
    </row>
    <row r="6">
      <c r="A6" s="4" t="inlineStr">
        <is>
          <t>Net profit (P&amp;L)</t>
        </is>
      </c>
      <c r="B6" s="17">
        <f>'P&amp;L'!B34</f>
        <v/>
      </c>
      <c r="C6" s="17">
        <f>'P&amp;L'!C34</f>
        <v/>
      </c>
      <c r="D6" s="17">
        <f>'P&amp;L'!D34</f>
        <v/>
      </c>
      <c r="E6" s="17">
        <f>'P&amp;L'!E34</f>
        <v/>
      </c>
      <c r="F6" s="17">
        <f>'P&amp;L'!F34</f>
        <v/>
      </c>
      <c r="G6" s="17">
        <f>'P&amp;L'!G34</f>
        <v/>
      </c>
      <c r="H6" s="17">
        <f>'P&amp;L'!H34</f>
        <v/>
      </c>
      <c r="I6" s="17">
        <f>'P&amp;L'!I34</f>
        <v/>
      </c>
      <c r="J6" s="17">
        <f>'P&amp;L'!J34</f>
        <v/>
      </c>
      <c r="K6" s="17">
        <f>'P&amp;L'!K34</f>
        <v/>
      </c>
      <c r="L6" s="17">
        <f>'P&amp;L'!L34</f>
        <v/>
      </c>
      <c r="M6" s="17">
        <f>'P&amp;L'!M34</f>
        <v/>
      </c>
      <c r="N6" s="17">
        <f>'P&amp;L'!N34</f>
        <v/>
      </c>
      <c r="O6" s="17">
        <f>'P&amp;L'!O34</f>
        <v/>
      </c>
      <c r="P6" s="17">
        <f>'P&amp;L'!P34</f>
        <v/>
      </c>
      <c r="Q6" s="17">
        <f>'P&amp;L'!Q34</f>
        <v/>
      </c>
      <c r="R6" s="17">
        <f>'P&amp;L'!R34</f>
        <v/>
      </c>
      <c r="S6" s="17">
        <f>'P&amp;L'!S34</f>
        <v/>
      </c>
      <c r="T6" s="17">
        <f>'P&amp;L'!T34</f>
        <v/>
      </c>
      <c r="U6" s="17">
        <f>'P&amp;L'!U34</f>
        <v/>
      </c>
      <c r="V6" s="17">
        <f>'P&amp;L'!V34</f>
        <v/>
      </c>
      <c r="W6" s="17">
        <f>'P&amp;L'!W34</f>
        <v/>
      </c>
      <c r="X6" s="17">
        <f>'P&amp;L'!X34</f>
        <v/>
      </c>
      <c r="Y6" s="17">
        <f>'P&amp;L'!Y34</f>
        <v/>
      </c>
      <c r="Z6" s="17">
        <f>'P&amp;L'!Z34</f>
        <v/>
      </c>
      <c r="AA6" s="17">
        <f>'P&amp;L'!AA34</f>
        <v/>
      </c>
      <c r="AB6" s="17">
        <f>'P&amp;L'!AB34</f>
        <v/>
      </c>
      <c r="AC6" s="17">
        <f>'P&amp;L'!AC34</f>
        <v/>
      </c>
      <c r="AD6" s="17">
        <f>'P&amp;L'!AD34</f>
        <v/>
      </c>
      <c r="AE6" s="17">
        <f>'P&amp;L'!AE34</f>
        <v/>
      </c>
      <c r="AF6" s="17">
        <f>'P&amp;L'!AF34</f>
        <v/>
      </c>
      <c r="AG6" s="17">
        <f>'P&amp;L'!AG34</f>
        <v/>
      </c>
      <c r="AH6" s="17">
        <f>'P&amp;L'!AH34</f>
        <v/>
      </c>
      <c r="AI6" s="17">
        <f>'P&amp;L'!AI34</f>
        <v/>
      </c>
      <c r="AJ6" s="17">
        <f>'P&amp;L'!AJ34</f>
        <v/>
      </c>
      <c r="AK6" s="17">
        <f>'P&amp;L'!AK34</f>
        <v/>
      </c>
    </row>
    <row r="7">
      <c r="A7" s="4" t="inlineStr">
        <is>
          <t>add back depreciation</t>
        </is>
      </c>
      <c r="B7" s="17">
        <f>'P&amp;L'!B32</f>
        <v/>
      </c>
      <c r="C7" s="17">
        <f>'P&amp;L'!C32</f>
        <v/>
      </c>
      <c r="D7" s="17">
        <f>'P&amp;L'!D32</f>
        <v/>
      </c>
      <c r="E7" s="17">
        <f>'P&amp;L'!E32</f>
        <v/>
      </c>
      <c r="F7" s="17">
        <f>'P&amp;L'!F32</f>
        <v/>
      </c>
      <c r="G7" s="17">
        <f>'P&amp;L'!G32</f>
        <v/>
      </c>
      <c r="H7" s="17">
        <f>'P&amp;L'!H32</f>
        <v/>
      </c>
      <c r="I7" s="17">
        <f>'P&amp;L'!I32</f>
        <v/>
      </c>
      <c r="J7" s="17">
        <f>'P&amp;L'!J32</f>
        <v/>
      </c>
      <c r="K7" s="17">
        <f>'P&amp;L'!K32</f>
        <v/>
      </c>
      <c r="L7" s="17">
        <f>'P&amp;L'!L32</f>
        <v/>
      </c>
      <c r="M7" s="17">
        <f>'P&amp;L'!M32</f>
        <v/>
      </c>
      <c r="N7" s="17">
        <f>'P&amp;L'!N32</f>
        <v/>
      </c>
      <c r="O7" s="17">
        <f>'P&amp;L'!O32</f>
        <v/>
      </c>
      <c r="P7" s="17">
        <f>'P&amp;L'!P32</f>
        <v/>
      </c>
      <c r="Q7" s="17">
        <f>'P&amp;L'!Q32</f>
        <v/>
      </c>
      <c r="R7" s="17">
        <f>'P&amp;L'!R32</f>
        <v/>
      </c>
      <c r="S7" s="17">
        <f>'P&amp;L'!S32</f>
        <v/>
      </c>
      <c r="T7" s="17">
        <f>'P&amp;L'!T32</f>
        <v/>
      </c>
      <c r="U7" s="17">
        <f>'P&amp;L'!U32</f>
        <v/>
      </c>
      <c r="V7" s="17">
        <f>'P&amp;L'!V32</f>
        <v/>
      </c>
      <c r="W7" s="17">
        <f>'P&amp;L'!W32</f>
        <v/>
      </c>
      <c r="X7" s="17">
        <f>'P&amp;L'!X32</f>
        <v/>
      </c>
      <c r="Y7" s="17">
        <f>'P&amp;L'!Y32</f>
        <v/>
      </c>
      <c r="Z7" s="17">
        <f>'P&amp;L'!Z32</f>
        <v/>
      </c>
      <c r="AA7" s="17">
        <f>'P&amp;L'!AA32</f>
        <v/>
      </c>
      <c r="AB7" s="17">
        <f>'P&amp;L'!AB32</f>
        <v/>
      </c>
      <c r="AC7" s="17">
        <f>'P&amp;L'!AC32</f>
        <v/>
      </c>
      <c r="AD7" s="17">
        <f>'P&amp;L'!AD32</f>
        <v/>
      </c>
      <c r="AE7" s="17">
        <f>'P&amp;L'!AE32</f>
        <v/>
      </c>
      <c r="AF7" s="17">
        <f>'P&amp;L'!AF32</f>
        <v/>
      </c>
      <c r="AG7" s="17">
        <f>'P&amp;L'!AG32</f>
        <v/>
      </c>
      <c r="AH7" s="17">
        <f>'P&amp;L'!AH32</f>
        <v/>
      </c>
      <c r="AI7" s="17">
        <f>'P&amp;L'!AI32</f>
        <v/>
      </c>
      <c r="AJ7" s="17">
        <f>'P&amp;L'!AJ32</f>
        <v/>
      </c>
      <c r="AK7" s="17">
        <f>'P&amp;L'!AK32</f>
        <v/>
      </c>
    </row>
    <row r="8">
      <c r="A8" s="4" t="inlineStr">
        <is>
          <t>working-capital movements</t>
        </is>
      </c>
      <c r="B8" s="17">
        <f>0</f>
        <v/>
      </c>
      <c r="C8" s="17">
        <f>0</f>
        <v/>
      </c>
      <c r="D8" s="17">
        <f>0</f>
        <v/>
      </c>
      <c r="E8" s="17">
        <f>0</f>
        <v/>
      </c>
      <c r="F8" s="17">
        <f>0</f>
        <v/>
      </c>
      <c r="G8" s="17">
        <f>0</f>
        <v/>
      </c>
      <c r="H8" s="17">
        <f>0</f>
        <v/>
      </c>
      <c r="I8" s="17">
        <f>0</f>
        <v/>
      </c>
      <c r="J8" s="17">
        <f>0</f>
        <v/>
      </c>
      <c r="K8" s="17">
        <f>0</f>
        <v/>
      </c>
      <c r="L8" s="17">
        <f>0</f>
        <v/>
      </c>
      <c r="M8" s="17">
        <f>0</f>
        <v/>
      </c>
      <c r="N8" s="17">
        <f>0</f>
        <v/>
      </c>
      <c r="O8" s="17">
        <f>0</f>
        <v/>
      </c>
      <c r="P8" s="17">
        <f>0</f>
        <v/>
      </c>
      <c r="Q8" s="17">
        <f>0</f>
        <v/>
      </c>
      <c r="R8" s="17">
        <f>0</f>
        <v/>
      </c>
      <c r="S8" s="17">
        <f>0</f>
        <v/>
      </c>
      <c r="T8" s="17">
        <f>0</f>
        <v/>
      </c>
      <c r="U8" s="17">
        <f>0</f>
        <v/>
      </c>
      <c r="V8" s="17">
        <f>0</f>
        <v/>
      </c>
      <c r="W8" s="17">
        <f>0</f>
        <v/>
      </c>
      <c r="X8" s="17">
        <f>0</f>
        <v/>
      </c>
      <c r="Y8" s="17">
        <f>0</f>
        <v/>
      </c>
      <c r="Z8" s="17">
        <f>0</f>
        <v/>
      </c>
      <c r="AA8" s="17">
        <f>0</f>
        <v/>
      </c>
      <c r="AB8" s="17">
        <f>0</f>
        <v/>
      </c>
      <c r="AC8" s="17">
        <f>0</f>
        <v/>
      </c>
      <c r="AD8" s="17">
        <f>0</f>
        <v/>
      </c>
      <c r="AE8" s="17">
        <f>0</f>
        <v/>
      </c>
      <c r="AF8" s="17">
        <f>0</f>
        <v/>
      </c>
      <c r="AG8" s="17">
        <f>0</f>
        <v/>
      </c>
      <c r="AH8" s="17">
        <f>0</f>
        <v/>
      </c>
      <c r="AI8" s="17">
        <f>0</f>
        <v/>
      </c>
      <c r="AJ8" s="17">
        <f>0</f>
        <v/>
      </c>
      <c r="AK8" s="17">
        <f>0</f>
        <v/>
      </c>
    </row>
    <row r="9">
      <c r="A9" s="13" t="inlineStr">
        <is>
          <t>Operating cash flow</t>
        </is>
      </c>
      <c r="B9" s="17">
        <f>B6+B7+B8</f>
        <v/>
      </c>
      <c r="C9" s="17">
        <f>C6+C7+C8</f>
        <v/>
      </c>
      <c r="D9" s="17">
        <f>D6+D7+D8</f>
        <v/>
      </c>
      <c r="E9" s="17">
        <f>E6+E7+E8</f>
        <v/>
      </c>
      <c r="F9" s="17">
        <f>F6+F7+F8</f>
        <v/>
      </c>
      <c r="G9" s="17">
        <f>G6+G7+G8</f>
        <v/>
      </c>
      <c r="H9" s="17">
        <f>H6+H7+H8</f>
        <v/>
      </c>
      <c r="I9" s="17">
        <f>I6+I7+I8</f>
        <v/>
      </c>
      <c r="J9" s="17">
        <f>J6+J7+J8</f>
        <v/>
      </c>
      <c r="K9" s="17">
        <f>K6+K7+K8</f>
        <v/>
      </c>
      <c r="L9" s="17">
        <f>L6+L7+L8</f>
        <v/>
      </c>
      <c r="M9" s="17">
        <f>M6+M7+M8</f>
        <v/>
      </c>
      <c r="N9" s="17">
        <f>N6+N7+N8</f>
        <v/>
      </c>
      <c r="O9" s="17">
        <f>O6+O7+O8</f>
        <v/>
      </c>
      <c r="P9" s="17">
        <f>P6+P7+P8</f>
        <v/>
      </c>
      <c r="Q9" s="17">
        <f>Q6+Q7+Q8</f>
        <v/>
      </c>
      <c r="R9" s="17">
        <f>R6+R7+R8</f>
        <v/>
      </c>
      <c r="S9" s="17">
        <f>S6+S7+S8</f>
        <v/>
      </c>
      <c r="T9" s="17">
        <f>T6+T7+T8</f>
        <v/>
      </c>
      <c r="U9" s="17">
        <f>U6+U7+U8</f>
        <v/>
      </c>
      <c r="V9" s="17">
        <f>V6+V7+V8</f>
        <v/>
      </c>
      <c r="W9" s="17">
        <f>W6+W7+W8</f>
        <v/>
      </c>
      <c r="X9" s="17">
        <f>X6+X7+X8</f>
        <v/>
      </c>
      <c r="Y9" s="17">
        <f>Y6+Y7+Y8</f>
        <v/>
      </c>
      <c r="Z9" s="17">
        <f>Z6+Z7+Z8</f>
        <v/>
      </c>
      <c r="AA9" s="17">
        <f>AA6+AA7+AA8</f>
        <v/>
      </c>
      <c r="AB9" s="17">
        <f>AB6+AB7+AB8</f>
        <v/>
      </c>
      <c r="AC9" s="17">
        <f>AC6+AC7+AC8</f>
        <v/>
      </c>
      <c r="AD9" s="17">
        <f>AD6+AD7+AD8</f>
        <v/>
      </c>
      <c r="AE9" s="17">
        <f>AE6+AE7+AE8</f>
        <v/>
      </c>
      <c r="AF9" s="17">
        <f>AF6+AF7+AF8</f>
        <v/>
      </c>
      <c r="AG9" s="17">
        <f>AG6+AG7+AG8</f>
        <v/>
      </c>
      <c r="AH9" s="17">
        <f>AH6+AH7+AH8</f>
        <v/>
      </c>
      <c r="AI9" s="17">
        <f>AI6+AI7+AI8</f>
        <v/>
      </c>
      <c r="AJ9" s="17">
        <f>AJ6+AJ7+AJ8</f>
        <v/>
      </c>
      <c r="AK9" s="17">
        <f>AK6+AK7+AK8</f>
        <v/>
      </c>
    </row>
    <row r="10">
      <c r="A10" s="4" t="inlineStr">
        <is>
          <t>Investing (capex draw)</t>
        </is>
      </c>
      <c r="B10" s="17">
        <f>-'Investment &amp; Financing'!$B$7</f>
        <v/>
      </c>
      <c r="C10" s="17">
        <f>0</f>
        <v/>
      </c>
      <c r="D10" s="17">
        <f>0</f>
        <v/>
      </c>
      <c r="E10" s="17">
        <f>0</f>
        <v/>
      </c>
      <c r="F10" s="17">
        <f>0</f>
        <v/>
      </c>
      <c r="G10" s="17">
        <f>0</f>
        <v/>
      </c>
      <c r="H10" s="17">
        <f>0</f>
        <v/>
      </c>
      <c r="I10" s="17">
        <f>0</f>
        <v/>
      </c>
      <c r="J10" s="17">
        <f>0</f>
        <v/>
      </c>
      <c r="K10" s="17">
        <f>0</f>
        <v/>
      </c>
      <c r="L10" s="17">
        <f>0</f>
        <v/>
      </c>
      <c r="M10" s="17">
        <f>0</f>
        <v/>
      </c>
      <c r="N10" s="17">
        <f>0</f>
        <v/>
      </c>
      <c r="O10" s="17">
        <f>0</f>
        <v/>
      </c>
      <c r="P10" s="17">
        <f>0</f>
        <v/>
      </c>
      <c r="Q10" s="17">
        <f>0</f>
        <v/>
      </c>
      <c r="R10" s="17">
        <f>0</f>
        <v/>
      </c>
      <c r="S10" s="17">
        <f>0</f>
        <v/>
      </c>
      <c r="T10" s="17">
        <f>0</f>
        <v/>
      </c>
      <c r="U10" s="17">
        <f>0</f>
        <v/>
      </c>
      <c r="V10" s="17">
        <f>0</f>
        <v/>
      </c>
      <c r="W10" s="17">
        <f>0</f>
        <v/>
      </c>
      <c r="X10" s="17">
        <f>0</f>
        <v/>
      </c>
      <c r="Y10" s="17">
        <f>0</f>
        <v/>
      </c>
      <c r="Z10" s="17">
        <f>0</f>
        <v/>
      </c>
      <c r="AA10" s="17">
        <f>0</f>
        <v/>
      </c>
      <c r="AB10" s="17">
        <f>0</f>
        <v/>
      </c>
      <c r="AC10" s="17">
        <f>0</f>
        <v/>
      </c>
      <c r="AD10" s="17">
        <f>0</f>
        <v/>
      </c>
      <c r="AE10" s="17">
        <f>0</f>
        <v/>
      </c>
      <c r="AF10" s="17">
        <f>0</f>
        <v/>
      </c>
      <c r="AG10" s="17">
        <f>0</f>
        <v/>
      </c>
      <c r="AH10" s="17">
        <f>0</f>
        <v/>
      </c>
      <c r="AI10" s="17">
        <f>0</f>
        <v/>
      </c>
      <c r="AJ10" s="17">
        <f>0</f>
        <v/>
      </c>
      <c r="AK10" s="17">
        <f>0</f>
        <v/>
      </c>
    </row>
    <row r="11">
      <c r="A11" s="4" t="inlineStr">
        <is>
          <t>Financing (draw - repay)</t>
        </is>
      </c>
      <c r="B11" s="17">
        <f>IF(1='Investment &amp; Financing'!$B$25,'Investment &amp; Financing'!$B$26,0)-IF(1&gt;'Investment &amp; Financing'!$B$25,'Investment &amp; Financing'!$B$28,0)</f>
        <v/>
      </c>
      <c r="C11" s="17">
        <f>IF(2='Investment &amp; Financing'!$B$25,'Investment &amp; Financing'!$B$26,0)-IF(2&gt;'Investment &amp; Financing'!$B$25,'Investment &amp; Financing'!$B$28,0)</f>
        <v/>
      </c>
      <c r="D11" s="17">
        <f>IF(3='Investment &amp; Financing'!$B$25,'Investment &amp; Financing'!$B$26,0)-IF(3&gt;'Investment &amp; Financing'!$B$25,'Investment &amp; Financing'!$B$28,0)</f>
        <v/>
      </c>
      <c r="E11" s="17">
        <f>IF(4='Investment &amp; Financing'!$B$25,'Investment &amp; Financing'!$B$26,0)-IF(4&gt;'Investment &amp; Financing'!$B$25,'Investment &amp; Financing'!$B$28,0)</f>
        <v/>
      </c>
      <c r="F11" s="17">
        <f>IF(5='Investment &amp; Financing'!$B$25,'Investment &amp; Financing'!$B$26,0)-IF(5&gt;'Investment &amp; Financing'!$B$25,'Investment &amp; Financing'!$B$28,0)</f>
        <v/>
      </c>
      <c r="G11" s="17">
        <f>IF(6='Investment &amp; Financing'!$B$25,'Investment &amp; Financing'!$B$26,0)-IF(6&gt;'Investment &amp; Financing'!$B$25,'Investment &amp; Financing'!$B$28,0)</f>
        <v/>
      </c>
      <c r="H11" s="17">
        <f>IF(7='Investment &amp; Financing'!$B$25,'Investment &amp; Financing'!$B$26,0)-IF(7&gt;'Investment &amp; Financing'!$B$25,'Investment &amp; Financing'!$B$28,0)</f>
        <v/>
      </c>
      <c r="I11" s="17">
        <f>IF(8='Investment &amp; Financing'!$B$25,'Investment &amp; Financing'!$B$26,0)-IF(8&gt;'Investment &amp; Financing'!$B$25,'Investment &amp; Financing'!$B$28,0)</f>
        <v/>
      </c>
      <c r="J11" s="17">
        <f>IF(9='Investment &amp; Financing'!$B$25,'Investment &amp; Financing'!$B$26,0)-IF(9&gt;'Investment &amp; Financing'!$B$25,'Investment &amp; Financing'!$B$28,0)</f>
        <v/>
      </c>
      <c r="K11" s="17">
        <f>IF(10='Investment &amp; Financing'!$B$25,'Investment &amp; Financing'!$B$26,0)-IF(10&gt;'Investment &amp; Financing'!$B$25,'Investment &amp; Financing'!$B$28,0)</f>
        <v/>
      </c>
      <c r="L11" s="17">
        <f>IF(11='Investment &amp; Financing'!$B$25,'Investment &amp; Financing'!$B$26,0)-IF(11&gt;'Investment &amp; Financing'!$B$25,'Investment &amp; Financing'!$B$28,0)</f>
        <v/>
      </c>
      <c r="M11" s="17">
        <f>IF(12='Investment &amp; Financing'!$B$25,'Investment &amp; Financing'!$B$26,0)-IF(12&gt;'Investment &amp; Financing'!$B$25,'Investment &amp; Financing'!$B$28,0)</f>
        <v/>
      </c>
      <c r="N11" s="17">
        <f>IF(13='Investment &amp; Financing'!$B$25,'Investment &amp; Financing'!$B$26,0)-IF(13&gt;'Investment &amp; Financing'!$B$25,'Investment &amp; Financing'!$B$28,0)</f>
        <v/>
      </c>
      <c r="O11" s="17">
        <f>IF(14='Investment &amp; Financing'!$B$25,'Investment &amp; Financing'!$B$26,0)-IF(14&gt;'Investment &amp; Financing'!$B$25,'Investment &amp; Financing'!$B$28,0)</f>
        <v/>
      </c>
      <c r="P11" s="17">
        <f>IF(15='Investment &amp; Financing'!$B$25,'Investment &amp; Financing'!$B$26,0)-IF(15&gt;'Investment &amp; Financing'!$B$25,'Investment &amp; Financing'!$B$28,0)</f>
        <v/>
      </c>
      <c r="Q11" s="17">
        <f>IF(16='Investment &amp; Financing'!$B$25,'Investment &amp; Financing'!$B$26,0)-IF(16&gt;'Investment &amp; Financing'!$B$25,'Investment &amp; Financing'!$B$28,0)</f>
        <v/>
      </c>
      <c r="R11" s="17">
        <f>IF(17='Investment &amp; Financing'!$B$25,'Investment &amp; Financing'!$B$26,0)-IF(17&gt;'Investment &amp; Financing'!$B$25,'Investment &amp; Financing'!$B$28,0)</f>
        <v/>
      </c>
      <c r="S11" s="17">
        <f>IF(18='Investment &amp; Financing'!$B$25,'Investment &amp; Financing'!$B$26,0)-IF(18&gt;'Investment &amp; Financing'!$B$25,'Investment &amp; Financing'!$B$28,0)</f>
        <v/>
      </c>
      <c r="T11" s="17">
        <f>IF(19='Investment &amp; Financing'!$B$25,'Investment &amp; Financing'!$B$26,0)-IF(19&gt;'Investment &amp; Financing'!$B$25,'Investment &amp; Financing'!$B$28,0)</f>
        <v/>
      </c>
      <c r="U11" s="17">
        <f>IF(20='Investment &amp; Financing'!$B$25,'Investment &amp; Financing'!$B$26,0)-IF(20&gt;'Investment &amp; Financing'!$B$25,'Investment &amp; Financing'!$B$28,0)</f>
        <v/>
      </c>
      <c r="V11" s="17">
        <f>IF(21='Investment &amp; Financing'!$B$25,'Investment &amp; Financing'!$B$26,0)-IF(21&gt;'Investment &amp; Financing'!$B$25,'Investment &amp; Financing'!$B$28,0)</f>
        <v/>
      </c>
      <c r="W11" s="17">
        <f>IF(22='Investment &amp; Financing'!$B$25,'Investment &amp; Financing'!$B$26,0)-IF(22&gt;'Investment &amp; Financing'!$B$25,'Investment &amp; Financing'!$B$28,0)</f>
        <v/>
      </c>
      <c r="X11" s="17">
        <f>IF(23='Investment &amp; Financing'!$B$25,'Investment &amp; Financing'!$B$26,0)-IF(23&gt;'Investment &amp; Financing'!$B$25,'Investment &amp; Financing'!$B$28,0)</f>
        <v/>
      </c>
      <c r="Y11" s="17">
        <f>IF(24='Investment &amp; Financing'!$B$25,'Investment &amp; Financing'!$B$26,0)-IF(24&gt;'Investment &amp; Financing'!$B$25,'Investment &amp; Financing'!$B$28,0)</f>
        <v/>
      </c>
      <c r="Z11" s="17">
        <f>IF(25='Investment &amp; Financing'!$B$25,'Investment &amp; Financing'!$B$26,0)-IF(25&gt;'Investment &amp; Financing'!$B$25,'Investment &amp; Financing'!$B$28,0)</f>
        <v/>
      </c>
      <c r="AA11" s="17">
        <f>IF(26='Investment &amp; Financing'!$B$25,'Investment &amp; Financing'!$B$26,0)-IF(26&gt;'Investment &amp; Financing'!$B$25,'Investment &amp; Financing'!$B$28,0)</f>
        <v/>
      </c>
      <c r="AB11" s="17">
        <f>IF(27='Investment &amp; Financing'!$B$25,'Investment &amp; Financing'!$B$26,0)-IF(27&gt;'Investment &amp; Financing'!$B$25,'Investment &amp; Financing'!$B$28,0)</f>
        <v/>
      </c>
      <c r="AC11" s="17">
        <f>IF(28='Investment &amp; Financing'!$B$25,'Investment &amp; Financing'!$B$26,0)-IF(28&gt;'Investment &amp; Financing'!$B$25,'Investment &amp; Financing'!$B$28,0)</f>
        <v/>
      </c>
      <c r="AD11" s="17">
        <f>IF(29='Investment &amp; Financing'!$B$25,'Investment &amp; Financing'!$B$26,0)-IF(29&gt;'Investment &amp; Financing'!$B$25,'Investment &amp; Financing'!$B$28,0)</f>
        <v/>
      </c>
      <c r="AE11" s="17">
        <f>IF(30='Investment &amp; Financing'!$B$25,'Investment &amp; Financing'!$B$26,0)-IF(30&gt;'Investment &amp; Financing'!$B$25,'Investment &amp; Financing'!$B$28,0)</f>
        <v/>
      </c>
      <c r="AF11" s="17">
        <f>IF(31='Investment &amp; Financing'!$B$25,'Investment &amp; Financing'!$B$26,0)-IF(31&gt;'Investment &amp; Financing'!$B$25,'Investment &amp; Financing'!$B$28,0)</f>
        <v/>
      </c>
      <c r="AG11" s="17">
        <f>IF(32='Investment &amp; Financing'!$B$25,'Investment &amp; Financing'!$B$26,0)-IF(32&gt;'Investment &amp; Financing'!$B$25,'Investment &amp; Financing'!$B$28,0)</f>
        <v/>
      </c>
      <c r="AH11" s="17">
        <f>IF(33='Investment &amp; Financing'!$B$25,'Investment &amp; Financing'!$B$26,0)-IF(33&gt;'Investment &amp; Financing'!$B$25,'Investment &amp; Financing'!$B$28,0)</f>
        <v/>
      </c>
      <c r="AI11" s="17">
        <f>IF(34='Investment &amp; Financing'!$B$25,'Investment &amp; Financing'!$B$26,0)-IF(34&gt;'Investment &amp; Financing'!$B$25,'Investment &amp; Financing'!$B$28,0)</f>
        <v/>
      </c>
      <c r="AJ11" s="17">
        <f>IF(35='Investment &amp; Financing'!$B$25,'Investment &amp; Financing'!$B$26,0)-IF(35&gt;'Investment &amp; Financing'!$B$25,'Investment &amp; Financing'!$B$28,0)</f>
        <v/>
      </c>
      <c r="AK11" s="17">
        <f>IF(36='Investment &amp; Financing'!$B$25,'Investment &amp; Financing'!$B$26,0)-IF(36&gt;'Investment &amp; Financing'!$B$25,'Investment &amp; Financing'!$B$28,0)</f>
        <v/>
      </c>
    </row>
    <row r="12">
      <c r="A12" s="4" t="inlineStr">
        <is>
          <t>Net cash flow</t>
        </is>
      </c>
      <c r="B12" s="17">
        <f>B9+B10+B11</f>
        <v/>
      </c>
      <c r="C12" s="17">
        <f>C9+C10+C11</f>
        <v/>
      </c>
      <c r="D12" s="17">
        <f>D9+D10+D11</f>
        <v/>
      </c>
      <c r="E12" s="17">
        <f>E9+E10+E11</f>
        <v/>
      </c>
      <c r="F12" s="17">
        <f>F9+F10+F11</f>
        <v/>
      </c>
      <c r="G12" s="17">
        <f>G9+G10+G11</f>
        <v/>
      </c>
      <c r="H12" s="17">
        <f>H9+H10+H11</f>
        <v/>
      </c>
      <c r="I12" s="17">
        <f>I9+I10+I11</f>
        <v/>
      </c>
      <c r="J12" s="17">
        <f>J9+J10+J11</f>
        <v/>
      </c>
      <c r="K12" s="17">
        <f>K9+K10+K11</f>
        <v/>
      </c>
      <c r="L12" s="17">
        <f>L9+L10+L11</f>
        <v/>
      </c>
      <c r="M12" s="17">
        <f>M9+M10+M11</f>
        <v/>
      </c>
      <c r="N12" s="17">
        <f>N9+N10+N11</f>
        <v/>
      </c>
      <c r="O12" s="17">
        <f>O9+O10+O11</f>
        <v/>
      </c>
      <c r="P12" s="17">
        <f>P9+P10+P11</f>
        <v/>
      </c>
      <c r="Q12" s="17">
        <f>Q9+Q10+Q11</f>
        <v/>
      </c>
      <c r="R12" s="17">
        <f>R9+R10+R11</f>
        <v/>
      </c>
      <c r="S12" s="17">
        <f>S9+S10+S11</f>
        <v/>
      </c>
      <c r="T12" s="17">
        <f>T9+T10+T11</f>
        <v/>
      </c>
      <c r="U12" s="17">
        <f>U9+U10+U11</f>
        <v/>
      </c>
      <c r="V12" s="17">
        <f>V9+V10+V11</f>
        <v/>
      </c>
      <c r="W12" s="17">
        <f>W9+W10+W11</f>
        <v/>
      </c>
      <c r="X12" s="17">
        <f>X9+X10+X11</f>
        <v/>
      </c>
      <c r="Y12" s="17">
        <f>Y9+Y10+Y11</f>
        <v/>
      </c>
      <c r="Z12" s="17">
        <f>Z9+Z10+Z11</f>
        <v/>
      </c>
      <c r="AA12" s="17">
        <f>AA9+AA10+AA11</f>
        <v/>
      </c>
      <c r="AB12" s="17">
        <f>AB9+AB10+AB11</f>
        <v/>
      </c>
      <c r="AC12" s="17">
        <f>AC9+AC10+AC11</f>
        <v/>
      </c>
      <c r="AD12" s="17">
        <f>AD9+AD10+AD11</f>
        <v/>
      </c>
      <c r="AE12" s="17">
        <f>AE9+AE10+AE11</f>
        <v/>
      </c>
      <c r="AF12" s="17">
        <f>AF9+AF10+AF11</f>
        <v/>
      </c>
      <c r="AG12" s="17">
        <f>AG9+AG10+AG11</f>
        <v/>
      </c>
      <c r="AH12" s="17">
        <f>AH9+AH10+AH11</f>
        <v/>
      </c>
      <c r="AI12" s="17">
        <f>AI9+AI10+AI11</f>
        <v/>
      </c>
      <c r="AJ12" s="17">
        <f>AJ9+AJ10+AJ11</f>
        <v/>
      </c>
      <c r="AK12" s="17">
        <f>AK9+AK10+AK11</f>
        <v/>
      </c>
    </row>
    <row r="13">
      <c r="A13" s="13" t="inlineStr">
        <is>
          <t>Closing cash</t>
        </is>
      </c>
      <c r="B13" s="17">
        <f>B5+B12</f>
        <v/>
      </c>
      <c r="C13" s="17">
        <f>C5+C12</f>
        <v/>
      </c>
      <c r="D13" s="17">
        <f>D5+D12</f>
        <v/>
      </c>
      <c r="E13" s="17">
        <f>E5+E12</f>
        <v/>
      </c>
      <c r="F13" s="17">
        <f>F5+F12</f>
        <v/>
      </c>
      <c r="G13" s="17">
        <f>G5+G12</f>
        <v/>
      </c>
      <c r="H13" s="17">
        <f>H5+H12</f>
        <v/>
      </c>
      <c r="I13" s="17">
        <f>I5+I12</f>
        <v/>
      </c>
      <c r="J13" s="17">
        <f>J5+J12</f>
        <v/>
      </c>
      <c r="K13" s="17">
        <f>K5+K12</f>
        <v/>
      </c>
      <c r="L13" s="17">
        <f>L5+L12</f>
        <v/>
      </c>
      <c r="M13" s="17">
        <f>M5+M12</f>
        <v/>
      </c>
      <c r="N13" s="17">
        <f>N5+N12</f>
        <v/>
      </c>
      <c r="O13" s="17">
        <f>O5+O12</f>
        <v/>
      </c>
      <c r="P13" s="17">
        <f>P5+P12</f>
        <v/>
      </c>
      <c r="Q13" s="17">
        <f>Q5+Q12</f>
        <v/>
      </c>
      <c r="R13" s="17">
        <f>R5+R12</f>
        <v/>
      </c>
      <c r="S13" s="17">
        <f>S5+S12</f>
        <v/>
      </c>
      <c r="T13" s="17">
        <f>T5+T12</f>
        <v/>
      </c>
      <c r="U13" s="17">
        <f>U5+U12</f>
        <v/>
      </c>
      <c r="V13" s="17">
        <f>V5+V12</f>
        <v/>
      </c>
      <c r="W13" s="17">
        <f>W5+W12</f>
        <v/>
      </c>
      <c r="X13" s="17">
        <f>X5+X12</f>
        <v/>
      </c>
      <c r="Y13" s="17">
        <f>Y5+Y12</f>
        <v/>
      </c>
      <c r="Z13" s="17">
        <f>Z5+Z12</f>
        <v/>
      </c>
      <c r="AA13" s="17">
        <f>AA5+AA12</f>
        <v/>
      </c>
      <c r="AB13" s="17">
        <f>AB5+AB12</f>
        <v/>
      </c>
      <c r="AC13" s="17">
        <f>AC5+AC12</f>
        <v/>
      </c>
      <c r="AD13" s="17">
        <f>AD5+AD12</f>
        <v/>
      </c>
      <c r="AE13" s="17">
        <f>AE5+AE12</f>
        <v/>
      </c>
      <c r="AF13" s="17">
        <f>AF5+AF12</f>
        <v/>
      </c>
      <c r="AG13" s="17">
        <f>AG5+AG12</f>
        <v/>
      </c>
      <c r="AH13" s="17">
        <f>AH5+AH12</f>
        <v/>
      </c>
      <c r="AI13" s="17">
        <f>AI5+AI12</f>
        <v/>
      </c>
      <c r="AJ13" s="17">
        <f>AJ5+AJ12</f>
        <v/>
      </c>
      <c r="AK13" s="17">
        <f>AK5+AK12</f>
        <v/>
      </c>
    </row>
    <row r="20">
      <c r="A20" s="13" t="inlineStr">
        <is>
          <t>Cumulative cash trough (MIN closing cash)</t>
        </is>
      </c>
      <c r="B20" s="6">
        <f>MIN(B13:AK13)</f>
        <v/>
      </c>
    </row>
    <row r="21">
      <c r="A21" s="13" t="inlineStr">
        <is>
          <t>Closing cash M36</t>
        </is>
      </c>
      <c r="B21" s="18">
        <f>AK13</f>
        <v/>
      </c>
    </row>
    <row r="22">
      <c r="A22" s="11" t="inlineStr">
        <is>
          <t>WC movements held at 0 for a clean tie (seed inventory/AR static). Refine with monthly ΔAR/ΔInv/ΔGST when timing is known.</t>
        </is>
      </c>
    </row>
  </sheetData>
  <mergeCells count="2">
    <mergeCell ref="A22:H2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46" customWidth="1" min="4" max="4"/>
    <col width="16" customWidth="1" min="5" max="5"/>
    <col width="16" customWidth="1" min="6" max="6"/>
  </cols>
  <sheetData>
    <row r="1" ht="22" customHeight="1">
      <c r="A1" s="1" t="inlineStr">
        <is>
          <t>INVESTMENT &amp; FINANCING — the returnable-capital answer</t>
        </is>
      </c>
    </row>
    <row r="2">
      <c r="A2" s="8" t="inlineStr">
        <is>
          <t>Capex / plant</t>
        </is>
      </c>
    </row>
    <row r="3">
      <c r="A3" s="4" t="inlineStr">
        <is>
          <t>Gross capital ask LOW</t>
        </is>
      </c>
      <c r="B3" s="17">
        <f>'Assumptions &amp; Provenance'!$B$53</f>
        <v/>
      </c>
    </row>
    <row r="4">
      <c r="A4" s="4" t="inlineStr">
        <is>
          <t>Gross capital ask HIGH</t>
        </is>
      </c>
      <c r="B4" s="17">
        <f>'Assumptions &amp; Provenance'!$B$54</f>
        <v/>
      </c>
    </row>
    <row r="5">
      <c r="A5" s="4" t="inlineStr">
        <is>
          <t>Gross capex (midpoint used by model)</t>
        </is>
      </c>
      <c r="B5" s="6">
        <f>(B3+B4)/2</f>
        <v/>
      </c>
      <c r="D5" s="7" t="inlineStr">
        <is>
          <t>&lt;- Control Panel dashboard reads this. Quote '$112K-$222K GROSS (firm quote pending)'. NEVER 90-200K.</t>
        </is>
      </c>
    </row>
    <row r="6">
      <c r="A6" s="4" t="inlineStr">
        <is>
          <t>Container plant capex (total)</t>
        </is>
      </c>
      <c r="B6" s="17">
        <f>'Location &amp; Containerisation'!$B$12</f>
        <v/>
      </c>
    </row>
    <row r="7">
      <c r="A7" s="4" t="inlineStr">
        <is>
          <t>Total new capex (shed + containers)</t>
        </is>
      </c>
      <c r="B7" s="18">
        <f>B5+B6</f>
        <v/>
      </c>
    </row>
    <row r="8">
      <c r="A8" s="4" t="inlineStr">
        <is>
          <t>Capex already invested (sunk)</t>
        </is>
      </c>
      <c r="B8" s="17">
        <f>'Assumptions &amp; Provenance'!$B$49</f>
        <v/>
      </c>
    </row>
    <row r="9">
      <c r="A9" s="4" t="inlineStr">
        <is>
          <t>Net new cash needed (gross less invested)</t>
        </is>
      </c>
      <c r="B9" s="17">
        <f>B5-B8</f>
        <v/>
      </c>
      <c r="D9" s="7" t="inlineStr">
        <is>
          <t>≈ ~1,954 (low) to ~111,954 (high). Net basis — a DIFFERENT quantity from QBE match cap.</t>
        </is>
      </c>
    </row>
    <row r="11">
      <c r="A11" s="8" t="inlineStr">
        <is>
          <t>Annual saving &amp; payback</t>
        </is>
      </c>
    </row>
    <row r="12">
      <c r="A12" s="4" t="inlineStr">
        <is>
          <t>In-house legs saving /bed</t>
        </is>
      </c>
      <c r="B12" s="12">
        <f>'Assumptions &amp; Provenance'!$B$59</f>
        <v/>
      </c>
      <c r="D12" s="7" t="inlineStr">
        <is>
          <t>≈ 194.05 (BOM 469.79 -&gt; factory 275.74). NOT the full 259 delta.</t>
        </is>
      </c>
    </row>
    <row r="13">
      <c r="A13" s="4" t="inlineStr">
        <is>
          <t>Annual saving @ beds/yr</t>
        </is>
      </c>
      <c r="B13" s="17">
        <f>'Control Panel'!$B$15*B12</f>
        <v/>
      </c>
    </row>
    <row r="14">
      <c r="A14" s="4" t="inlineStr">
        <is>
          <t>Payback (yrs) @ beds/yr</t>
        </is>
      </c>
      <c r="B14" s="22">
        <f>B5/B13</f>
        <v/>
      </c>
    </row>
    <row r="15">
      <c r="A15" s="4" t="inlineStr">
        <is>
          <t>Guard band</t>
        </is>
      </c>
      <c r="B15" s="13">
        <f>IF('Control Panel'!$B$15&lt;300,"Capex not sensible below ~300/yr committed — buy Defy kits","OK above ~300/yr")</f>
        <v/>
      </c>
    </row>
    <row r="17">
      <c r="A17" s="8" t="inlineStr">
        <is>
          <t>Use-of-funds line-items</t>
        </is>
      </c>
    </row>
    <row r="18">
      <c r="A18" s="3" t="inlineStr">
        <is>
          <t>Instrument</t>
        </is>
      </c>
      <c r="B18" s="3" t="inlineStr">
        <is>
          <t>Type</t>
        </is>
      </c>
      <c r="C18" s="3" t="inlineStr">
        <is>
          <t>Amount</t>
        </is>
      </c>
      <c r="D18" s="3" t="inlineStr">
        <is>
          <t>Maps to</t>
        </is>
      </c>
    </row>
    <row r="19">
      <c r="A19" s="4" t="inlineStr">
        <is>
          <t>QBE Catalysing Impact match</t>
        </is>
      </c>
      <c r="B19" s="7" t="inlineStr">
        <is>
          <t>Grant (contingent on raising $400K first)</t>
        </is>
      </c>
      <c r="C19" t="inlineStr">
        <is>
          <t>match cap</t>
        </is>
      </c>
      <c r="D19" s="7" t="inlineStr">
        <is>
          <t>capex + fixed block</t>
        </is>
      </c>
    </row>
    <row r="20">
      <c r="A20" s="4" t="inlineStr">
        <is>
          <t>Anchor philanthropy</t>
        </is>
      </c>
      <c r="B20" s="7" t="inlineStr">
        <is>
          <t>Grant</t>
        </is>
      </c>
      <c r="C20" s="17" t="n">
        <v>500000</v>
      </c>
      <c r="D20" s="7" t="inlineStr">
        <is>
          <t>fixed block bridge</t>
        </is>
      </c>
    </row>
    <row r="21">
      <c r="A21" s="4" t="inlineStr">
        <is>
          <t>SEFA</t>
        </is>
      </c>
      <c r="B21" s="7" t="inlineStr">
        <is>
          <t>Concessional debt</t>
        </is>
      </c>
      <c r="C21" s="17" t="n">
        <v>300000</v>
      </c>
      <c r="D21" s="7" t="inlineStr">
        <is>
          <t>working capital + plant</t>
        </is>
      </c>
    </row>
    <row r="22">
      <c r="A22" s="4" t="inlineStr">
        <is>
          <t>Monthly depreciation (5-yr SL on total capex incl invested)</t>
        </is>
      </c>
      <c r="B22" s="23">
        <f>(B7+B8)/'Assumptions &amp; Provenance'!$B$61</f>
        <v/>
      </c>
      <c r="C22" s="17" t="n">
        <v>110046</v>
      </c>
      <c r="D22" s="7" t="inlineStr">
        <is>
          <t>≈ (new capex + invested) / 60. Constant monthly charge to P&amp;L.</t>
        </is>
      </c>
    </row>
    <row r="24">
      <c r="A24" s="8" t="inlineStr">
        <is>
          <t>SEFA financing schedule (illustrative)</t>
        </is>
      </c>
    </row>
    <row r="25">
      <c r="A25" s="4" t="inlineStr">
        <is>
          <t>Draw month (M)</t>
        </is>
      </c>
      <c r="B25" s="9" t="n">
        <v>7</v>
      </c>
      <c r="D25" s="7" t="inlineStr">
        <is>
          <t>e.g. M7 = ~Nov-26</t>
        </is>
      </c>
    </row>
    <row r="26">
      <c r="A26" s="4" t="inlineStr">
        <is>
          <t>Principal / rate / term</t>
        </is>
      </c>
      <c r="B26" s="17">
        <f>'Assumptions &amp; Provenance'!$B$63</f>
        <v/>
      </c>
      <c r="C26" s="24">
        <f>'Assumptions &amp; Provenance'!$B$64</f>
        <v/>
      </c>
      <c r="D26" s="7">
        <f>'Assumptions &amp; Provenance'!$B$65 months</f>
        <v/>
      </c>
    </row>
    <row r="27">
      <c r="A27" s="4" t="inlineStr">
        <is>
          <t>Monthly interest (drawn)</t>
        </is>
      </c>
      <c r="B27" s="18">
        <f>B26*'Assumptions &amp; Provenance'!$B$64/12</f>
        <v/>
      </c>
      <c r="D27" s="7" t="inlineStr">
        <is>
          <t>&lt;- P&amp;L interest line reads this. Simplified to interest-only (flat principal); see note.</t>
        </is>
      </c>
    </row>
    <row r="28">
      <c r="A28" s="4" t="inlineStr">
        <is>
          <t>Monthly principal repayment</t>
        </is>
      </c>
      <c r="B28" s="17">
        <f>B26/'Assumptions &amp; Provenance'!$B$65</f>
        <v/>
      </c>
    </row>
    <row r="29">
      <c r="A29" s="4" t="inlineStr">
        <is>
          <t>Coverage check (annual surplus / annual debt service)</t>
        </is>
      </c>
      <c r="B29" s="25">
        <f>('P&amp;L'!$C$10)/((B27+B28)*12)</f>
        <v/>
      </c>
      <c r="D29" s="7" t="inlineStr">
        <is>
          <t>(operating surplus before founder) / annual debt service. &gt;1x = serviceable.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2" customHeight="1">
      <c r="A1" s="1" t="inlineStr">
        <is>
          <t>SCENARIOS — presets. Set Control Panel 'Use scenario preset?' to 1-6 to load.</t>
        </is>
      </c>
    </row>
    <row r="2">
      <c r="A2" s="8" t="inlineStr">
        <is>
          <t>Six presets. Control Panel can pull these via the 'Use scenario preset?' dial (1-6).</t>
        </is>
      </c>
    </row>
    <row r="3">
      <c r="A3" s="3" t="inlineStr">
        <is>
          <t>Preset</t>
        </is>
      </c>
      <c r="B3" s="3" t="inlineStr">
        <is>
          <t>Beds Y1</t>
        </is>
      </c>
      <c r="C3" s="3" t="inlineStr">
        <is>
          <t>Method</t>
        </is>
      </c>
      <c r="D3" s="3" t="inlineStr">
        <is>
          <t>Location</t>
        </is>
      </c>
      <c r="E3" s="3" t="inlineStr">
        <is>
          <t>Containerise</t>
        </is>
      </c>
      <c r="F3" s="3" t="inlineStr">
        <is>
          <t>Founder FTE</t>
        </is>
      </c>
      <c r="G3" s="3" t="inlineStr">
        <is>
          <t>Capital timing</t>
        </is>
      </c>
    </row>
    <row r="4">
      <c r="A4" s="4" t="inlineStr">
        <is>
          <t>1 Today (honest)</t>
        </is>
      </c>
      <c r="B4" s="17" t="n">
        <v>120</v>
      </c>
      <c r="C4" s="17" t="n">
        <v>1</v>
      </c>
      <c r="D4" s="17" t="n">
        <v>1</v>
      </c>
      <c r="E4" s="17" t="n">
        <v>0</v>
      </c>
      <c r="F4" s="24" t="n">
        <v>1</v>
      </c>
      <c r="G4" s="7" t="inlineStr">
        <is>
          <t>none</t>
        </is>
      </c>
    </row>
    <row r="5">
      <c r="A5" s="4" t="inlineStr">
        <is>
          <t>2 In-source assembly</t>
        </is>
      </c>
      <c r="B5" s="17" t="n">
        <v>250</v>
      </c>
      <c r="C5" s="17" t="n">
        <v>1</v>
      </c>
      <c r="D5" s="17" t="n">
        <v>2</v>
      </c>
      <c r="E5" s="17" t="n">
        <v>0</v>
      </c>
      <c r="F5" s="24" t="n">
        <v>1</v>
      </c>
      <c r="G5" s="7" t="inlineStr">
        <is>
          <t>$2K bench</t>
        </is>
      </c>
    </row>
    <row r="6">
      <c r="A6" s="4" t="inlineStr">
        <is>
          <t>3 Factory at target</t>
        </is>
      </c>
      <c r="B6" s="17" t="n">
        <v>500</v>
      </c>
      <c r="C6" s="17" t="n">
        <v>3</v>
      </c>
      <c r="D6" s="17" t="n">
        <v>2</v>
      </c>
      <c r="E6" s="17" t="n">
        <v>0</v>
      </c>
      <c r="F6" s="24" t="n">
        <v>1</v>
      </c>
      <c r="G6" s="7" t="inlineStr">
        <is>
          <t>$112-222K, M Sep-26</t>
        </is>
      </c>
    </row>
    <row r="7">
      <c r="A7" s="4" t="inlineStr">
        <is>
          <t>4 On-Country container</t>
        </is>
      </c>
      <c r="B7" s="17" t="n">
        <v>500</v>
      </c>
      <c r="C7" s="17" t="n">
        <v>3</v>
      </c>
      <c r="D7" s="17" t="n">
        <v>3</v>
      </c>
      <c r="E7" s="17" t="n">
        <v>1</v>
      </c>
      <c r="F7" s="24" t="n">
        <v>1</v>
      </c>
      <c r="G7" s="7" t="inlineStr">
        <is>
          <t>container plant</t>
        </is>
      </c>
    </row>
    <row r="8">
      <c r="A8" s="4" t="inlineStr">
        <is>
          <t>5 Community vision</t>
        </is>
      </c>
      <c r="B8" s="17" t="n">
        <v>1000</v>
      </c>
      <c r="C8" s="17" t="n">
        <v>4</v>
      </c>
      <c r="D8" s="17" t="n">
        <v>3</v>
      </c>
      <c r="E8" s="17" t="n">
        <v>1</v>
      </c>
      <c r="F8" s="24" t="n">
        <v>1</v>
      </c>
      <c r="G8" s="7" t="inlineStr">
        <is>
          <t>+ free feedstock</t>
        </is>
      </c>
    </row>
    <row r="9">
      <c r="A9" s="4" t="inlineStr">
        <is>
          <t>6 Investor case (Matt)</t>
        </is>
      </c>
      <c r="B9" t="inlineStr"/>
      <c r="C9" t="inlineStr"/>
      <c r="D9" t="inlineStr"/>
      <c r="E9" t="inlineStr"/>
      <c r="F9" t="inlineStr"/>
      <c r="G9" s="7" t="inlineStr">
        <is>
          <t>blank — Matt fills</t>
        </is>
      </c>
    </row>
    <row r="11">
      <c r="A11" s="3" t="inlineStr">
        <is>
          <t>Selected preset (via Control Panel 'Use scenario preset?')</t>
        </is>
      </c>
    </row>
    <row r="12">
      <c r="A12" s="4" t="inlineStr">
        <is>
          <t>Beds Y1</t>
        </is>
      </c>
      <c r="B12" s="18">
        <f>IF('Control Panel'!$B$30=0,"(manual — using dials)",INDEX($B$4:$B$8,'Control Panel'!$B$30))</f>
        <v/>
      </c>
    </row>
    <row r="13">
      <c r="A13" s="4" t="inlineStr">
        <is>
          <t>Method</t>
        </is>
      </c>
      <c r="B13" s="18">
        <f>IF('Control Panel'!$B$30=0,"(manual — using dials)",INDEX($C$4:$C$8,'Control Panel'!$B$30))</f>
        <v/>
      </c>
    </row>
    <row r="14">
      <c r="A14" s="4" t="inlineStr">
        <is>
          <t>Location</t>
        </is>
      </c>
      <c r="B14" s="18">
        <f>IF('Control Panel'!$B$30=0,"(manual — using dials)",INDEX($D$4:$D$8,'Control Panel'!$B$30))</f>
        <v/>
      </c>
    </row>
    <row r="15">
      <c r="A15" s="4" t="inlineStr">
        <is>
          <t>Containerise</t>
        </is>
      </c>
      <c r="B15" s="18">
        <f>IF('Control Panel'!$B$30=0,"(manual — using dials)",INDEX($E$4:$E$8,'Control Panel'!$B$30))</f>
        <v/>
      </c>
    </row>
    <row r="16">
      <c r="A16" s="4" t="inlineStr">
        <is>
          <t>Founder FTE</t>
        </is>
      </c>
      <c r="B16" s="26">
        <f>IF('Control Panel'!$B$30=0,"(manual — using dials)",INDEX($F$4:$F$8,'Control Panel'!$B$30))</f>
        <v/>
      </c>
    </row>
    <row r="18">
      <c r="A18" s="2" t="inlineStr">
        <is>
          <t>TO ACTIVATE A PRESET: copy the row's values into the Control Panel yellow dials, OR wire the dials to =INDEX here.</t>
        </is>
      </c>
    </row>
    <row r="19">
      <c r="A19" s="11" t="inlineStr">
        <is>
          <t>Opening cash reconciles to Control Panel B (the live engine). Displayed trough = Cashflow trough.</t>
        </is>
      </c>
    </row>
  </sheetData>
  <mergeCells count="3">
    <mergeCell ref="A18:H18"/>
    <mergeCell ref="A11:G11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70" customWidth="1" min="4" max="4"/>
  </cols>
  <sheetData>
    <row r="1" ht="22" customHeight="1">
      <c r="A1" s="1" t="inlineStr">
        <is>
          <t>ASSUMPTIONS &amp; PROVENANCE — canonical named values (the trust layer)</t>
        </is>
      </c>
    </row>
    <row r="2">
      <c r="A2" s="8" t="inlineStr">
        <is>
          <t>START HERE: This is THE canonical Goods model. Archive v0.1, v0.2, Goods-Financial-Model, Bed-Cost-Model-v6, IAT.</t>
        </is>
      </c>
    </row>
    <row r="3">
      <c r="A3" s="3" t="inlineStr">
        <is>
          <t>Assumption</t>
        </is>
      </c>
      <c r="B3" s="3" t="inlineStr">
        <is>
          <t>Value</t>
        </is>
      </c>
      <c r="C3" s="3" t="inlineStr">
        <is>
          <t>Confidence</t>
        </is>
      </c>
      <c r="D3" s="3" t="inlineStr">
        <is>
          <t>Source / note / recommended fix</t>
        </is>
      </c>
    </row>
    <row r="4">
      <c r="A4" s="8" t="inlineStr">
        <is>
          <t>— BOM (verified ex invoices, supplier-quotes.ts) —</t>
        </is>
      </c>
    </row>
    <row r="5">
      <c r="A5" s="4" t="inlineStr">
        <is>
          <t>HDPE kit (Defy)</t>
        </is>
      </c>
      <c r="B5" s="27" t="n">
        <v>344.05</v>
      </c>
      <c r="C5" s="4" t="inlineStr">
        <is>
          <t>verified</t>
        </is>
      </c>
      <c r="D5" s="7" t="inlineStr">
        <is>
          <t>Defy INV-1602/INV-1732, 19mm Jungle recycled HDPE kit, cut+finished, excl assembly+hardware.</t>
        </is>
      </c>
    </row>
    <row r="6">
      <c r="A6" s="4" t="inlineStr">
        <is>
          <t>Steel poles (DNA Steel)</t>
        </is>
      </c>
      <c r="B6" s="27" t="n">
        <v>27</v>
      </c>
      <c r="C6" s="4" t="inlineStr">
        <is>
          <t>verified</t>
        </is>
      </c>
      <c r="D6" s="7" t="inlineStr">
        <is>
          <t>DNA Steel Direct Alice Springs, Notion BOM canonical.</t>
        </is>
      </c>
    </row>
    <row r="7">
      <c r="A7" s="4" t="inlineStr">
        <is>
          <t>Canvas (Centre Canvas)</t>
        </is>
      </c>
      <c r="B7" s="27" t="n">
        <v>93.5</v>
      </c>
      <c r="C7" s="4" t="inlineStr">
        <is>
          <t>verified</t>
        </is>
      </c>
      <c r="D7" s="7" t="inlineStr">
        <is>
          <t>Centre Canvas Alice Springs, 3 invoices 2026. ACT-IN-&gt;ACT-GD retag $14,915 pending.</t>
        </is>
      </c>
    </row>
    <row r="8">
      <c r="A8" s="4" t="inlineStr">
        <is>
          <t>End caps (4 x 0.80)</t>
        </is>
      </c>
      <c r="B8" s="27" t="n">
        <v>3.2</v>
      </c>
      <c r="C8" s="4" t="inlineStr">
        <is>
          <t>verified</t>
        </is>
      </c>
      <c r="D8" s="7" t="inlineStr">
        <is>
          <t>4 x $0.80 round ribbed 27mm caps.</t>
        </is>
      </c>
    </row>
    <row r="9">
      <c r="A9" s="4" t="inlineStr">
        <is>
          <t>Screws (16 x 0.065)</t>
        </is>
      </c>
      <c r="B9" s="27" t="n">
        <v>1.04</v>
      </c>
      <c r="C9" s="4" t="inlineStr">
        <is>
          <t>verified</t>
        </is>
      </c>
      <c r="D9" s="7" t="inlineStr">
        <is>
          <t>Coastal Fasteners INV RB20247673190 2026-04-16, $0.0645/screw.</t>
        </is>
      </c>
    </row>
    <row r="10">
      <c r="A10" s="4" t="inlineStr">
        <is>
          <t>Bolts (2 x 0.50)</t>
        </is>
      </c>
      <c r="B10" s="27" t="n">
        <v>1</v>
      </c>
      <c r="C10" s="4" t="inlineStr">
        <is>
          <t>modelled</t>
        </is>
      </c>
      <c r="D10" s="7" t="inlineStr">
        <is>
          <t>2 x ~$0.50 galv hex M8 bulk, pending line-item OCR.</t>
        </is>
      </c>
    </row>
    <row r="11">
      <c r="A11" s="4" t="inlineStr">
        <is>
          <t>BOM direct materials (sum)</t>
        </is>
      </c>
      <c r="B11" s="27">
        <f>B5+B6+B7+B8+B9+B10</f>
        <v/>
      </c>
      <c r="C11" s="4" t="inlineStr">
        <is>
          <t>verified</t>
        </is>
      </c>
      <c r="D11" s="7" t="inlineStr">
        <is>
          <t>≈ 469.79. Re-derives from the 6 lines above.</t>
        </is>
      </c>
    </row>
    <row r="12">
      <c r="A12" s="8" t="inlineStr">
        <is>
          <t>— Factory path (raw shred -&gt; press -&gt; CNC -&gt; assemble) —</t>
        </is>
      </c>
    </row>
    <row r="13">
      <c r="A13" s="4" t="inlineStr">
        <is>
          <t>Raw HDPE (20kg x 2.75/kg incl freight)</t>
        </is>
      </c>
      <c r="B13" s="27" t="n">
        <v>55</v>
      </c>
      <c r="C13" s="4" t="inlineStr">
        <is>
          <t>modelled</t>
        </is>
      </c>
      <c r="D13" s="7" t="inlineStr">
        <is>
          <t>20kg HDPE shred + transport. Factory-path plastic line.</t>
        </is>
      </c>
    </row>
    <row r="14">
      <c r="A14" s="4" t="inlineStr">
        <is>
          <t>Diesel /bed</t>
        </is>
      </c>
      <c r="B14" s="27" t="n">
        <v>15</v>
      </c>
      <c r="C14" s="4" t="inlineStr">
        <is>
          <t>modelled</t>
        </is>
      </c>
      <c r="D14" s="7" t="inlineStr">
        <is>
          <t>25L/day press+CNC over 5 beds/day.</t>
        </is>
      </c>
    </row>
    <row r="15">
      <c r="A15" s="4" t="inlineStr">
        <is>
          <t>Factory hardware (caps+screws+bolts)</t>
        </is>
      </c>
      <c r="B15" s="27" t="n">
        <v>5.24</v>
      </c>
      <c r="C15" s="4" t="inlineStr">
        <is>
          <t>verified</t>
        </is>
      </c>
      <c r="D15" s="7" t="inlineStr">
        <is>
          <t>≈ 3.20+1.04+1.00.</t>
        </is>
      </c>
    </row>
    <row r="16">
      <c r="A16" s="4" t="inlineStr">
        <is>
          <t>Defy panel (each)</t>
        </is>
      </c>
      <c r="B16" s="27" t="n">
        <v>200</v>
      </c>
      <c r="C16" s="4" t="inlineStr">
        <is>
          <t>modelled</t>
        </is>
      </c>
      <c r="D16" s="7" t="inlineStr">
        <is>
          <t>Buy-Panels path: 2 panels/bed @ $200.</t>
        </is>
      </c>
    </row>
    <row r="17">
      <c r="A17" s="4" t="inlineStr">
        <is>
          <t>Buy-Panels self-CNC labour add</t>
        </is>
      </c>
      <c r="B17" s="27" t="n">
        <v>58.33</v>
      </c>
      <c r="C17" s="4" t="inlineStr">
        <is>
          <t>modelled</t>
        </is>
      </c>
      <c r="D17" s="7" t="inlineStr">
        <is>
          <t>Reconciles Buy-Panels build-up to canonical 584.07 (2 panels 400 + 27 + 93.50 + 5.24 + 53.33 labour + 5 diesel).</t>
        </is>
      </c>
    </row>
    <row r="18">
      <c r="A18" s="8" t="inlineStr">
        <is>
          <t>— Physics / idiot-index floor —</t>
        </is>
      </c>
    </row>
    <row r="19">
      <c r="A19" s="4" t="inlineStr">
        <is>
          <t>HDPE mass per bed (kg)</t>
        </is>
      </c>
      <c r="B19" s="28" t="n">
        <v>20</v>
      </c>
      <c r="C19" s="4" t="inlineStr">
        <is>
          <t>verified</t>
        </is>
      </c>
      <c r="D19" s="7" t="inlineStr">
        <is>
          <t>20kg HDPE diverted/bed (impact + COGS driver).</t>
        </is>
      </c>
    </row>
    <row r="20">
      <c r="A20" s="4" t="inlineStr">
        <is>
          <t>Defy shred SELL price ($/kg)</t>
        </is>
      </c>
      <c r="B20" s="27" t="n">
        <v>2</v>
      </c>
      <c r="C20" s="4" t="inlineStr">
        <is>
          <t>verified</t>
        </is>
      </c>
      <c r="D20" s="7" t="inlineStr">
        <is>
          <t>Defy INV-1731 shred sell price. Idiot index vs shred basis.</t>
        </is>
      </c>
    </row>
    <row r="21">
      <c r="A21" s="4" t="inlineStr">
        <is>
          <t>Raw recycled polymer floor ($/kg)</t>
        </is>
      </c>
      <c r="B21" s="27" t="n">
        <v>0.8</v>
      </c>
      <c r="C21" s="4" t="inlineStr">
        <is>
          <t>verified</t>
        </is>
      </c>
      <c r="D21" s="7" t="inlineStr">
        <is>
          <t>Envirobank recycled HDPE, supplier-quotes.ts. TRUE physics floor.</t>
        </is>
      </c>
    </row>
    <row r="22">
      <c r="A22" s="4" t="inlineStr">
        <is>
          <t>HDPE floor vs shred ($/bed)</t>
        </is>
      </c>
      <c r="B22" s="27">
        <f>B19*B20</f>
        <v/>
      </c>
      <c r="C22" s="4" t="inlineStr">
        <is>
          <t>verified</t>
        </is>
      </c>
      <c r="D22" s="7" t="inlineStr">
        <is>
          <t>≈ 40.00 (20kg x $2/kg shred).</t>
        </is>
      </c>
    </row>
    <row r="23">
      <c r="A23" s="4" t="inlineStr">
        <is>
          <t>HDPE floor vs polymer ($/bed)</t>
        </is>
      </c>
      <c r="B23" s="27">
        <f>B19*B21</f>
        <v/>
      </c>
      <c r="C23" s="4" t="inlineStr">
        <is>
          <t>verified</t>
        </is>
      </c>
      <c r="D23" s="7" t="inlineStr">
        <is>
          <t>≈ 16.00 (20kg x $0.80/kg polymer).</t>
        </is>
      </c>
    </row>
    <row r="24">
      <c r="A24" s="8" t="inlineStr">
        <is>
          <t>— Founder time (LOCKED) —</t>
        </is>
      </c>
    </row>
    <row r="25">
      <c r="A25" s="4" t="inlineStr">
        <is>
          <t>Founder day-rate ($/day)</t>
        </is>
      </c>
      <c r="B25" s="28" t="n">
        <v>560</v>
      </c>
      <c r="C25" s="4" t="inlineStr">
        <is>
          <t>locked</t>
        </is>
      </c>
      <c r="D25" s="7" t="inlineStr">
        <is>
          <t>LOCKED $560/day. NOT $1,000 (purge stale value).</t>
        </is>
      </c>
    </row>
    <row r="26">
      <c r="A26" s="4" t="inlineStr">
        <is>
          <t>Founder days/yr on Goods</t>
        </is>
      </c>
      <c r="B26" s="28" t="n">
        <v>150</v>
      </c>
      <c r="C26" s="4" t="inlineStr">
        <is>
          <t>locked</t>
        </is>
      </c>
      <c r="D26" s="7" t="inlineStr">
        <is>
          <t>30 production / 50 fundraising / 25 commercialisation / 45 governance.</t>
        </is>
      </c>
    </row>
    <row r="27">
      <c r="A27" s="4" t="inlineStr">
        <is>
          <t>Founder production days/yr</t>
        </is>
      </c>
      <c r="B27" s="28" t="n">
        <v>30</v>
      </c>
      <c r="C27" s="4" t="inlineStr">
        <is>
          <t>locked</t>
        </is>
      </c>
      <c r="D27" s="7" t="inlineStr">
        <is>
          <t>Only this share touches unit cost (production fixed block).</t>
        </is>
      </c>
    </row>
    <row r="28">
      <c r="A28" s="4" t="inlineStr">
        <is>
          <t>Founder cost/yr @100% FTE</t>
        </is>
      </c>
      <c r="B28" s="27">
        <f>B25*B26</f>
        <v/>
      </c>
      <c r="C28" s="4" t="inlineStr">
        <is>
          <t>locked</t>
        </is>
      </c>
      <c r="D28" s="7" t="inlineStr">
        <is>
          <t>≈ 84,000.</t>
        </is>
      </c>
    </row>
    <row r="29">
      <c r="A29" s="4" t="inlineStr">
        <is>
          <t>Founder production share/yr</t>
        </is>
      </c>
      <c r="B29" s="27">
        <f>B25*B27</f>
        <v/>
      </c>
      <c r="C29" s="4" t="inlineStr">
        <is>
          <t>locked</t>
        </is>
      </c>
      <c r="D29" s="7" t="inlineStr">
        <is>
          <t>≈ 16,800. Part of the $109,500 headline fixed block.</t>
        </is>
      </c>
    </row>
    <row r="30">
      <c r="A30" s="8" t="inlineStr">
        <is>
          <t>— Annual fixed block components —</t>
        </is>
      </c>
    </row>
    <row r="31">
      <c r="A31" s="4" t="inlineStr">
        <is>
          <t>Kirmos facility (Sunshine Coast) /yr</t>
        </is>
      </c>
      <c r="B31" s="27" t="n">
        <v>27000</v>
      </c>
      <c r="C31" s="4" t="inlineStr">
        <is>
          <t>modelled</t>
        </is>
      </c>
      <c r="D31" s="7" t="inlineStr">
        <is>
          <t>$4,500/mo (Joseph Kirmos).</t>
        </is>
      </c>
    </row>
    <row r="32">
      <c r="A32" s="4" t="inlineStr">
        <is>
          <t>Admin &amp; overhead /yr</t>
        </is>
      </c>
      <c r="B32" s="27" t="n">
        <v>14700</v>
      </c>
      <c r="C32" s="4" t="inlineStr">
        <is>
          <t>modelled</t>
        </is>
      </c>
      <c r="D32" s="7" t="inlineStr">
        <is>
          <t>Software, insurance, accounting allocation.</t>
        </is>
      </c>
    </row>
    <row r="33">
      <c r="A33" s="4" t="inlineStr">
        <is>
          <t>Field travel /yr</t>
        </is>
      </c>
      <c r="B33" s="27" t="n">
        <v>51000</v>
      </c>
      <c r="C33" s="4" t="inlineStr">
        <is>
          <t>modelled</t>
        </is>
      </c>
      <c r="D33" s="7" t="inlineStr">
        <is>
          <t>Community delivery + install travel.</t>
        </is>
      </c>
    </row>
    <row r="34">
      <c r="A34" s="4" t="inlineStr">
        <is>
          <t>Non-founder fixed base /yr</t>
        </is>
      </c>
      <c r="B34" s="27">
        <f>B31+B32+B33</f>
        <v/>
      </c>
      <c r="C34" s="4" t="inlineStr">
        <is>
          <t>modelled</t>
        </is>
      </c>
      <c r="D34" s="7" t="inlineStr">
        <is>
          <t>≈ 92,700. Founder line added SEPARATELY in P&amp;L (FTE-scaled).</t>
        </is>
      </c>
    </row>
    <row r="35">
      <c r="A35" s="4" t="inlineStr">
        <is>
          <t>Annual fixed block (headline)</t>
        </is>
      </c>
      <c r="B35" s="27">
        <f>B34+B29</f>
        <v/>
      </c>
      <c r="C35" s="4" t="inlineStr">
        <is>
          <t>modelled</t>
        </is>
      </c>
      <c r="D35" s="7" t="inlineStr">
        <is>
          <t>≈ 109,500 incl founder-production share. Breakeven denominator basis.</t>
        </is>
      </c>
    </row>
    <row r="36">
      <c r="A36" s="8" t="inlineStr">
        <is>
          <t>— Price, volume, freight, labour —</t>
        </is>
      </c>
    </row>
    <row r="37">
      <c r="A37" s="4" t="inlineStr">
        <is>
          <t>Price per bed</t>
        </is>
      </c>
      <c r="B37" s="27" t="n">
        <v>750</v>
      </c>
      <c r="C37" s="4" t="inlineStr">
        <is>
          <t>verified</t>
        </is>
      </c>
      <c r="D37" s="7" t="inlineStr">
        <is>
          <t>Unified website price 2026-05-26 (shop stretch-bed-single).</t>
        </is>
      </c>
    </row>
    <row r="38">
      <c r="A38" s="4" t="inlineStr">
        <is>
          <t>Local freight /bed</t>
        </is>
      </c>
      <c r="B38" s="27" t="n">
        <v>25</v>
      </c>
      <c r="C38" s="4" t="inlineStr">
        <is>
          <t>modelled</t>
        </is>
      </c>
      <c r="D38" s="7" t="inlineStr">
        <is>
          <t>Short-haul / last-leg. Marginal.</t>
        </is>
      </c>
    </row>
    <row r="39">
      <c r="A39" s="4" t="inlineStr">
        <is>
          <t>Long-haul freight /bed</t>
        </is>
      </c>
      <c r="B39" s="27" t="n">
        <v>150</v>
      </c>
      <c r="C39" s="4" t="inlineStr">
        <is>
          <t>modelled</t>
        </is>
      </c>
      <c r="D39" s="7" t="inlineStr">
        <is>
          <t>Sydney-&gt;remote long-haul. Marginal, not overhead.</t>
        </is>
      </c>
    </row>
    <row r="40">
      <c r="A40" s="4" t="inlineStr">
        <is>
          <t>Labour rate $/day</t>
        </is>
      </c>
      <c r="B40" s="27" t="n">
        <v>400</v>
      </c>
      <c r="C40" s="4" t="inlineStr">
        <is>
          <t>inferred</t>
        </is>
      </c>
      <c r="D40" s="7" t="inlineStr">
        <is>
          <t>Factory day rate (promoted from hardcode).</t>
        </is>
      </c>
    </row>
    <row r="41">
      <c r="A41" s="4" t="inlineStr">
        <is>
          <t>Factory throughput beds/day</t>
        </is>
      </c>
      <c r="B41" s="27" t="n">
        <v>5</v>
      </c>
      <c r="C41" s="4" t="inlineStr">
        <is>
          <t>modelled</t>
        </is>
      </c>
      <c r="D41" s="7" t="inlineStr">
        <is>
          <t>Drives assembly labour/bed.</t>
        </is>
      </c>
    </row>
    <row r="42">
      <c r="A42" s="4" t="inlineStr">
        <is>
          <t>Assembly labour /bed</t>
        </is>
      </c>
      <c r="B42" s="27">
        <f>B40/B41</f>
        <v/>
      </c>
      <c r="C42" s="4" t="inlineStr">
        <is>
          <t>modelled</t>
        </is>
      </c>
      <c r="D42" s="7" t="inlineStr">
        <is>
          <t>≈ 80 at 400/5. Used in Buy-Kit direct.</t>
        </is>
      </c>
    </row>
    <row r="43">
      <c r="A43" s="4" t="inlineStr">
        <is>
          <t>Buy-Kit assembly+freight-in component</t>
        </is>
      </c>
      <c r="B43" s="27" t="n">
        <v>65</v>
      </c>
      <c r="C43" s="4" t="inlineStr">
        <is>
          <t>modelled</t>
        </is>
      </c>
      <c r="D43" s="7" t="inlineStr">
        <is>
          <t>Reconciles Buy-Kit direct 534.79 = BOM 469.79 + 65.00 (kit assembly+inbound handling, ex long-haul).</t>
        </is>
      </c>
    </row>
    <row r="44">
      <c r="A44" s="8" t="inlineStr">
        <is>
          <t>— Verified financials (Xero mirror workpaper, NOT audited) —</t>
        </is>
      </c>
    </row>
    <row r="45">
      <c r="A45" s="4" t="inlineStr">
        <is>
          <t>Revenue billed (cumulative)</t>
        </is>
      </c>
      <c r="B45" s="27" t="n">
        <v>732210.79</v>
      </c>
      <c r="C45" s="4" t="inlineStr">
        <is>
          <t>verified</t>
        </is>
      </c>
      <c r="D45" s="7" t="inlineStr">
        <is>
          <t>Xero workpaper.</t>
        </is>
      </c>
    </row>
    <row r="46">
      <c r="A46" s="4" t="inlineStr">
        <is>
          <t>Revenue received (cumulative)</t>
        </is>
      </c>
      <c r="B46" s="27" t="n">
        <v>649710.79</v>
      </c>
      <c r="C46" s="4" t="inlineStr">
        <is>
          <t>verified</t>
        </is>
      </c>
      <c r="D46" s="7" t="inlineStr">
        <is>
          <t>Xero workpaper. Headline cash-in.</t>
        </is>
      </c>
    </row>
    <row r="47">
      <c r="A47" s="4" t="inlineStr">
        <is>
          <t>Accounts receivable (Rotary)</t>
        </is>
      </c>
      <c r="B47" s="27" t="n">
        <v>82500</v>
      </c>
      <c r="C47" s="4" t="inlineStr">
        <is>
          <t>verified</t>
        </is>
      </c>
      <c r="D47" s="7" t="inlineStr">
        <is>
          <t>Rotary AR outstanding.</t>
        </is>
      </c>
    </row>
    <row r="48">
      <c r="A48" s="4" t="inlineStr">
        <is>
          <t>Goods expenses (single cash basis)</t>
        </is>
      </c>
      <c r="B48" s="27" t="n">
        <v>309126</v>
      </c>
      <c r="C48" s="4" t="inlineStr">
        <is>
          <t>verified</t>
        </is>
      </c>
      <c r="D48" s="7" t="inlineStr">
        <is>
          <t>Goods-only cash expenses. No director loan, AP~0 (matching gap).</t>
        </is>
      </c>
    </row>
    <row r="49">
      <c r="A49" s="4" t="inlineStr">
        <is>
          <t>Capex invested to date</t>
        </is>
      </c>
      <c r="B49" s="27" t="n">
        <v>110046</v>
      </c>
      <c r="C49" s="4" t="inlineStr">
        <is>
          <t>verified</t>
        </is>
      </c>
      <c r="D49" s="7" t="inlineStr">
        <is>
          <t>Facility + Carbatec equipment already invested (sunk).</t>
        </is>
      </c>
    </row>
    <row r="50">
      <c r="A50" s="4" t="inlineStr">
        <is>
          <t>Accounts payable</t>
        </is>
      </c>
      <c r="B50" s="28" t="n">
        <v>0</v>
      </c>
      <c r="C50" s="4" t="inlineStr">
        <is>
          <t>verified</t>
        </is>
      </c>
      <c r="D50" s="7" t="inlineStr">
        <is>
          <t>~0 owed; AUTHORISED bills are a payment-matching gap, not debt.</t>
        </is>
      </c>
    </row>
    <row r="51">
      <c r="A51" s="4" t="inlineStr">
        <is>
          <t>GST payable (rough)</t>
        </is>
      </c>
      <c r="B51" s="27" t="n">
        <v>29657</v>
      </c>
      <c r="C51" s="4" t="inlineStr">
        <is>
          <t>modelled</t>
        </is>
      </c>
      <c r="D51" s="7" t="inlineStr">
        <is>
          <t>Rough GST liability for BS completeness.</t>
        </is>
      </c>
    </row>
    <row r="52">
      <c r="A52" s="8" t="inlineStr">
        <is>
          <t>— Capital ask (GROSS basis; firm quote pending) —</t>
        </is>
      </c>
    </row>
    <row r="53">
      <c r="A53" s="4" t="inlineStr">
        <is>
          <t>Gross capital ask LOW</t>
        </is>
      </c>
      <c r="B53" s="27" t="n">
        <v>112000</v>
      </c>
      <c r="C53" s="4" t="inlineStr">
        <is>
          <t>target</t>
        </is>
      </c>
      <c r="D53" s="7" t="inlineStr">
        <is>
          <t>Firm quote pending. NEVER quote '90-200K'.</t>
        </is>
      </c>
    </row>
    <row r="54">
      <c r="A54" s="4" t="inlineStr">
        <is>
          <t>Gross capital ask HIGH</t>
        </is>
      </c>
      <c r="B54" s="27" t="n">
        <v>222000</v>
      </c>
      <c r="C54" s="4" t="inlineStr">
        <is>
          <t>target</t>
        </is>
      </c>
      <c r="D54" s="7" t="inlineStr">
        <is>
          <t>Firm quote pending.</t>
        </is>
      </c>
    </row>
    <row r="55">
      <c r="A55" s="4" t="inlineStr">
        <is>
          <t>Net after invested (LOW)</t>
        </is>
      </c>
      <c r="B55" s="27">
        <f>B53-B49</f>
        <v/>
      </c>
      <c r="C55" s="4" t="inlineStr">
        <is>
          <t>target</t>
        </is>
      </c>
      <c r="D55" s="7" t="inlineStr">
        <is>
          <t>≈ ~1,954. $112K gross less $110,046 invested.</t>
        </is>
      </c>
    </row>
    <row r="56">
      <c r="A56" s="4" t="inlineStr">
        <is>
          <t>Net after invested (HIGH)</t>
        </is>
      </c>
      <c r="B56" s="27">
        <f>B54-B49</f>
        <v/>
      </c>
      <c r="C56" s="4" t="inlineStr">
        <is>
          <t>target</t>
        </is>
      </c>
      <c r="D56" s="7" t="inlineStr">
        <is>
          <t>≈ ~111,954.</t>
        </is>
      </c>
    </row>
    <row r="57">
      <c r="A57" s="4" t="inlineStr">
        <is>
          <t>Capex per container plant</t>
        </is>
      </c>
      <c r="B57" s="27" t="n">
        <v>180000</v>
      </c>
      <c r="C57" s="4" t="inlineStr">
        <is>
          <t>modelled</t>
        </is>
      </c>
      <c r="D57" s="7" t="inlineStr">
        <is>
          <t>Mobile container fit-out, vs $112-222K fixed shed.</t>
        </is>
      </c>
    </row>
    <row r="58">
      <c r="A58" s="4" t="inlineStr">
        <is>
          <t>Container freight saving /bed</t>
        </is>
      </c>
      <c r="B58" s="27" t="n">
        <v>70</v>
      </c>
      <c r="C58" s="4" t="inlineStr">
        <is>
          <t>modelled</t>
        </is>
      </c>
      <c r="D58" s="7" t="inlineStr">
        <is>
          <t>Outbound Sydney 150 - On-Country 80.</t>
        </is>
      </c>
    </row>
    <row r="59">
      <c r="A59" s="4" t="inlineStr">
        <is>
          <t>In-house legs saving /bed</t>
        </is>
      </c>
      <c r="B59" s="27" t="n">
        <v>194.05</v>
      </c>
      <c r="C59" s="4" t="inlineStr">
        <is>
          <t>modelled</t>
        </is>
      </c>
      <c r="D59" s="7" t="inlineStr">
        <is>
          <t>BOM 469.79 -&gt; factory 275.74 = legs saving. Payback basis (NOT full 259 delta).</t>
        </is>
      </c>
    </row>
    <row r="60">
      <c r="A60" s="4" t="inlineStr">
        <is>
          <t>Opening cash 1-May-2026</t>
        </is>
      </c>
      <c r="B60" s="28" t="n">
        <v>50000</v>
      </c>
      <c r="C60" s="4" t="inlineStr">
        <is>
          <t>TO CONFIRM</t>
        </is>
      </c>
      <c r="D60" s="7" t="inlineStr">
        <is>
          <t>PLACEHOLDER. Highest-leverage unconfirmed input. Get ACT-accounts Goods carve-out balance.</t>
        </is>
      </c>
    </row>
    <row r="61">
      <c r="A61" s="4" t="inlineStr">
        <is>
          <t>Depreciation life (months)</t>
        </is>
      </c>
      <c r="B61" s="28" t="n">
        <v>60</v>
      </c>
      <c r="C61" s="4" t="inlineStr">
        <is>
          <t>modelled</t>
        </is>
      </c>
      <c r="D61" s="7" t="inlineStr">
        <is>
          <t>5-yr straight line on capex.</t>
        </is>
      </c>
    </row>
    <row r="62">
      <c r="A62" s="8" t="inlineStr">
        <is>
          <t>— SEFA financing (illustrative) —</t>
        </is>
      </c>
    </row>
    <row r="63">
      <c r="A63" s="4" t="inlineStr">
        <is>
          <t>SEFA debt principal</t>
        </is>
      </c>
      <c r="B63" s="27" t="n">
        <v>300000</v>
      </c>
      <c r="C63" s="4" t="inlineStr">
        <is>
          <t>target</t>
        </is>
      </c>
      <c r="D63" s="7" t="inlineStr">
        <is>
          <t>Concessional debt. Draw + term + rate are dials on Investment tab.</t>
        </is>
      </c>
    </row>
    <row r="64">
      <c r="A64" s="4" t="inlineStr">
        <is>
          <t>SEFA annual interest rate</t>
        </is>
      </c>
      <c r="B64" s="29" t="n">
        <v>0.04</v>
      </c>
      <c r="C64" s="4" t="inlineStr">
        <is>
          <t>target</t>
        </is>
      </c>
      <c r="D64" s="7" t="inlineStr">
        <is>
          <t>Illustrative concessional rate.</t>
        </is>
      </c>
    </row>
    <row r="65">
      <c r="A65" s="4" t="inlineStr">
        <is>
          <t>SEFA term (months)</t>
        </is>
      </c>
      <c r="B65" s="28" t="n">
        <v>60</v>
      </c>
      <c r="C65" s="4" t="inlineStr">
        <is>
          <t>target</t>
        </is>
      </c>
      <c r="D65" s="7" t="inlineStr">
        <is>
          <t>Illustrative 5-yr term.</t>
        </is>
      </c>
    </row>
    <row r="67">
      <c r="A67" s="2" t="inlineStr">
        <is>
          <t>NOTE: xlsx formulas are NOT computed by openpyxl — sanity-check every dial on first open in Google Sheets.</t>
        </is>
      </c>
    </row>
    <row r="68">
      <c r="A68" s="7" t="inlineStr">
        <is>
          <t>Entity: A Curious Tractor Pty Ltd (ABN 36 697 347 676) t/a Goods on Country; Butterfly Movement Ltd (Item 1 DGR, from FY2026-27); Nic sole trader (ABN 21 591 780 066).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2026-05-29T08:28:39Z</dcterms:created>
  <dcterms:modified xmlns:dcterms="http://purl.org/dc/terms/" xmlns:xsi="http://www.w3.org/2001/XMLSchema-instance" xsi:type="dcterms:W3CDTF">2026-05-29T08:28:39Z</dcterms:modified>
</cp:coreProperties>
</file>