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Assumptions" sheetId="1" state="visible" r:id="rId1"/>
    <sheet xmlns:r="http://schemas.openxmlformats.org/officeDocument/2006/relationships" name="P&amp;L (monthly)" sheetId="2" state="visible" r:id="rId2"/>
    <sheet xmlns:r="http://schemas.openxmlformats.org/officeDocument/2006/relationships" name="Balance Sheet &amp; WC" sheetId="3" state="visible" r:id="rId3"/>
    <sheet xmlns:r="http://schemas.openxmlformats.org/officeDocument/2006/relationships" name="Cashflow 36mo" sheetId="4" state="visible" r:id="rId4"/>
    <sheet xmlns:r="http://schemas.openxmlformats.org/officeDocument/2006/relationships" name="Cost Ladder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Founder Inputs to Clo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#,##0.00;[Red]-#,##0.00"/>
    <numFmt numFmtId="166" formatCode="0.0%"/>
    <numFmt numFmtId="167" formatCode="0.0&quot;x&quot;"/>
  </numFmts>
  <fonts count="7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555555"/>
      <sz val="9"/>
    </font>
    <font>
      <b val="1"/>
      <color rgb="001F3A5F"/>
      <sz val="12"/>
    </font>
    <font>
      <b val="1"/>
      <color rgb="00BF8F00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" fontId="6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6" fillId="7" borderId="1" pivotButton="0" quotePrefix="0" xfId="0"/>
    <xf numFmtId="164" fontId="6" fillId="7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/>
    </xf>
    <xf numFmtId="0" fontId="6" fillId="0" borderId="0" pivotButton="0" quotePrefix="0" xfId="0"/>
    <xf numFmtId="164" fontId="0" fillId="8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3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Goods on Country — 3-Statement Financial Model v0.1</t>
        </is>
      </c>
    </row>
    <row r="2">
      <c r="A2" s="2" t="inlineStr">
        <is>
          <t>QBE Catalysing Impact, Area 04 (Financial Management) P0 deliverable. Built 2026-05-29. MANAGEMENT ACCOUNTS — NOT AUDITED.</t>
        </is>
      </c>
    </row>
    <row r="4">
      <c r="A4" s="3" t="inlineStr">
        <is>
          <t>READ THIS FIRST</t>
        </is>
      </c>
    </row>
    <row r="5" ht="30" customHeight="1">
      <c r="A5" s="4" t="inlineStr">
        <is>
          <t>•  This workbook consolidates the May-12 financial-model trail (Day 2/3/6/8/9), the v6 bed cost model (2026-05-29), and the Area 04 review into one founder/accountant-ready pack.</t>
        </is>
      </c>
    </row>
    <row r="6" ht="30" customHeight="1">
      <c r="A6" s="4" t="inlineStr">
        <is>
          <t>•  It is a v0.1 WORKPAPER built from Xero-linked pulls and modelled forecasts. It is NOT accountant-reviewed statutory accounts. Do not present externally as audited.</t>
        </is>
      </c>
    </row>
    <row r="7" ht="30" customHeight="1">
      <c r="A7" s="4" t="inlineStr">
        <is>
          <t>•  Every figure is provenance-labelled: VERIFIED (queried source), MODELLED (forecast/assumption), TARGET (future intent), TO CONFIRM (gap — scaffolded, not fabricated).</t>
        </is>
      </c>
    </row>
    <row r="8" ht="30" customHeight="1">
      <c r="A8" s="4" t="inlineStr">
        <is>
          <t>•  TWO LIVE DIAL cells (yellow) gate the whole model: Opening cash @ 1 May 2026, and Founder day-rate. Change them and the Cashflow + Cost-ladder tabs recompute.</t>
        </is>
      </c>
    </row>
    <row r="9" ht="30" customHeight="1">
      <c r="A9" s="4" t="inlineStr">
        <is>
          <t>•  Where Area 04 lists a gap (inventory, full AR/AP ageing, GST, R&amp;D refund timing, ACT-GD carve-out), the row is scaffolded and marked TO CONFIRM rather than guessed.</t>
        </is>
      </c>
    </row>
    <row r="11">
      <c r="A11" s="5" t="inlineStr">
        <is>
          <t>LIVE DIALS  (yellow = founder-confirm; these gate the model)</t>
        </is>
      </c>
    </row>
    <row r="12">
      <c r="A12" s="6" t="inlineStr">
        <is>
          <t>Dial</t>
        </is>
      </c>
      <c r="B12" s="6" t="inlineStr">
        <is>
          <t>Value</t>
        </is>
      </c>
      <c r="C12" s="6" t="inlineStr">
        <is>
          <t>Unit</t>
        </is>
      </c>
      <c r="D12" s="6" t="inlineStr">
        <is>
          <t>Default / band</t>
        </is>
      </c>
      <c r="E12" s="6" t="inlineStr">
        <is>
          <t>Status</t>
        </is>
      </c>
      <c r="F12" s="6" t="inlineStr">
        <is>
          <t>Note</t>
        </is>
      </c>
    </row>
    <row r="13" ht="42" customHeight="1">
      <c r="A13" s="7" t="inlineStr">
        <is>
          <t>Opening cash @ 1 May 2026</t>
        </is>
      </c>
      <c r="B13" s="8" t="n">
        <v>50000</v>
      </c>
      <c r="C13" s="9" t="inlineStr">
        <is>
          <t>AUD</t>
        </is>
      </c>
      <c r="D13" s="10" t="inlineStr">
        <is>
          <t>$50,000 PLACEHOLDER</t>
        </is>
      </c>
      <c r="E13" s="11" t="inlineStr">
        <is>
          <t>TO CONFIRM</t>
        </is>
      </c>
      <c r="F13" s="12" t="inlineStr">
        <is>
          <t>Single biggest unknown. If genuine Goods-earmarked cash is $300K+, the trough disappears. Drives Cashflow tab.</t>
        </is>
      </c>
    </row>
    <row r="14" ht="42" customHeight="1">
      <c r="A14" s="7" t="inlineStr">
        <is>
          <t>Founder day-rate</t>
        </is>
      </c>
      <c r="B14" s="8" t="n">
        <v>560</v>
      </c>
      <c r="C14" s="9" t="inlineStr">
        <is>
          <t>AUD/day</t>
        </is>
      </c>
      <c r="D14" s="10" t="inlineStr">
        <is>
          <t>$560 (band $560–$1,000)</t>
        </is>
      </c>
      <c r="E14" s="11" t="inlineStr">
        <is>
          <t>TO CONFIRM</t>
        </is>
      </c>
      <c r="F14" s="12" t="inlineStr">
        <is>
          <t>$560/day = $140K/yr at 250 days (Day 3 basis). v6 cost model used $1,000/day — reconcile. Drives founder-time + fixed block.</t>
        </is>
      </c>
    </row>
    <row r="15" ht="42" customHeight="1">
      <c r="A15" s="7" t="inlineStr">
        <is>
          <t>Founder production days/yr (Goods unit-cost share)</t>
        </is>
      </c>
      <c r="B15" s="13" t="n">
        <v>30</v>
      </c>
      <c r="C15" s="9" t="inlineStr">
        <is>
          <t>days/yr</t>
        </is>
      </c>
      <c r="D15" s="10" t="inlineStr">
        <is>
          <t>30 (v6 split, of 150 total)</t>
        </is>
      </c>
      <c r="E15" s="11" t="inlineStr">
        <is>
          <t>TO CONFIRM</t>
        </is>
      </c>
      <c r="F15" s="12" t="inlineStr">
        <is>
          <t>Only the production share touches unit cost. Fundraising/commercialisation/governance days are cost-of-capital, not unit cost.</t>
        </is>
      </c>
    </row>
    <row r="17">
      <c r="A17" s="3" t="inlineStr">
        <is>
          <t>PROVENANCE KEY</t>
        </is>
      </c>
    </row>
    <row r="18" ht="28" customHeight="1">
      <c r="A18" s="14" t="inlineStr">
        <is>
          <t>VERIFIED</t>
        </is>
      </c>
      <c r="B18" s="12" t="inlineStr">
        <is>
          <t>Queried directly from a named source (ACT-GD Xero rows, supplier invoices, shop price). Usable externally with citation + founder/accountant sign-off.</t>
        </is>
      </c>
      <c r="C18" s="15" t="n"/>
      <c r="D18" s="15" t="n"/>
      <c r="E18" s="15" t="n"/>
      <c r="F18" s="15" t="n"/>
      <c r="G18" s="16" t="n"/>
    </row>
    <row r="19" ht="28" customHeight="1">
      <c r="A19" s="17" t="inlineStr">
        <is>
          <t>MODELLED</t>
        </is>
      </c>
      <c r="B19" s="12" t="inlineStr">
        <is>
          <t>Forecast or assumption (founder-time scenarios, 36-mo cashflow, unit cost at scale, capital close timing). Usable only as forecast.</t>
        </is>
      </c>
      <c r="C19" s="15" t="n"/>
      <c r="D19" s="15" t="n"/>
      <c r="E19" s="15" t="n"/>
      <c r="F19" s="15" t="n"/>
      <c r="G19" s="16" t="n"/>
    </row>
    <row r="20" ht="28" customHeight="1">
      <c r="A20" s="18" t="inlineStr">
        <is>
          <t>TARGET</t>
        </is>
      </c>
      <c r="B20" s="12" t="inlineStr">
        <is>
          <t>Future operating intent (factory cost, 6-mo buffer, accountant-reviewed pack).</t>
        </is>
      </c>
      <c r="C20" s="15" t="n"/>
      <c r="D20" s="15" t="n"/>
      <c r="E20" s="15" t="n"/>
      <c r="F20" s="15" t="n"/>
      <c r="G20" s="16" t="n"/>
    </row>
    <row r="21" ht="28" customHeight="1">
      <c r="A21" s="19" t="inlineStr">
        <is>
          <t>TO CONFIRM</t>
        </is>
      </c>
      <c r="B21" s="12" t="inlineStr">
        <is>
          <t>Area-04 gap. Row scaffolded, value NOT fabricated. Must be closed before the model is 'closed'.</t>
        </is>
      </c>
      <c r="C21" s="15" t="n"/>
      <c r="D21" s="15" t="n"/>
      <c r="E21" s="15" t="n"/>
      <c r="F21" s="15" t="n"/>
      <c r="G21" s="16" t="n"/>
    </row>
    <row r="23">
      <c r="A23" s="3" t="inlineStr">
        <is>
          <t>KEY ANCHOR FIGURES (cited)</t>
        </is>
      </c>
    </row>
    <row r="24">
      <c r="A24" s="6" t="inlineStr">
        <is>
          <t>Metric</t>
        </is>
      </c>
      <c r="B24" s="6" t="inlineStr">
        <is>
          <t>Value</t>
        </is>
      </c>
      <c r="C24" s="6" t="inlineStr">
        <is>
          <t>Status</t>
        </is>
      </c>
      <c r="D24" s="6" t="inlineStr">
        <is>
          <t>Source</t>
        </is>
      </c>
    </row>
    <row r="25" ht="24" customHeight="1">
      <c r="A25" s="12" t="inlineStr">
        <is>
          <t>Cumulative revenue (May-12 model basis, Ingkerreke excluded)</t>
        </is>
      </c>
      <c r="B25" s="20" t="n">
        <v>684911</v>
      </c>
      <c r="C25" s="21" t="inlineStr">
        <is>
          <t>VERIFIED</t>
        </is>
      </c>
      <c r="D25" s="12" t="inlineStr">
        <is>
          <t>Day 2 P&amp;L; ACT-infra xero_invoices</t>
        </is>
      </c>
    </row>
    <row r="26" ht="24" customHeight="1">
      <c r="A26" s="12" t="inlineStr">
        <is>
          <t>ACT-GD ACCREC total (fresh 2026-05-29 pull)</t>
        </is>
      </c>
      <c r="B26" s="20" t="n">
        <v>732210.79</v>
      </c>
      <c r="C26" s="21" t="inlineStr">
        <is>
          <t>VERIFIED</t>
        </is>
      </c>
      <c r="D26" s="12" t="inlineStr">
        <is>
          <t>Area 04; xero_invoices project_code=ACT-GD</t>
        </is>
      </c>
    </row>
    <row r="27" ht="24" customHeight="1">
      <c r="A27" s="12" t="inlineStr">
        <is>
          <t>ACT-GD ACCREC paid</t>
        </is>
      </c>
      <c r="B27" s="20" t="n">
        <v>649710.79</v>
      </c>
      <c r="C27" s="21" t="inlineStr">
        <is>
          <t>VERIFIED</t>
        </is>
      </c>
      <c r="D27" s="12" t="inlineStr">
        <is>
          <t>Area 04 fresh pull</t>
        </is>
      </c>
    </row>
    <row r="28" ht="24" customHeight="1">
      <c r="A28" s="12" t="inlineStr">
        <is>
          <t>ACT-GD ACCREC due (receivable signal)</t>
        </is>
      </c>
      <c r="B28" s="20" t="n">
        <v>82500</v>
      </c>
      <c r="C28" s="21" t="inlineStr">
        <is>
          <t>VERIFIED</t>
        </is>
      </c>
      <c r="D28" s="12" t="inlineStr">
        <is>
          <t>Area 04 — Rotary INV-0222 authorised</t>
        </is>
      </c>
    </row>
    <row r="29" ht="24" customHeight="1">
      <c r="A29" s="12" t="inlineStr">
        <is>
          <t>ACCPAY invoiced expense (Day 2)</t>
        </is>
      </c>
      <c r="B29" s="20" t="n">
        <v>350112.34</v>
      </c>
      <c r="C29" s="21" t="inlineStr">
        <is>
          <t>VERIFIED</t>
        </is>
      </c>
      <c r="D29" s="12" t="inlineStr">
        <is>
          <t>Day 2/3; ACCPAY Goods-tagged</t>
        </is>
      </c>
    </row>
    <row r="30" ht="24" customHeight="1">
      <c r="A30" s="12" t="inlineStr">
        <is>
          <t>True total operating expense (Day 3, incl bank-only spend)</t>
        </is>
      </c>
      <c r="B30" s="20" t="n">
        <v>436611.83</v>
      </c>
      <c r="C30" s="22" t="inlineStr">
        <is>
          <t>MODELLED</t>
        </is>
      </c>
      <c r="D30" s="12" t="inlineStr">
        <is>
          <t>Day 3 reconciliation (+$86,499 bank-only)</t>
        </is>
      </c>
    </row>
    <row r="31" ht="24" customHeight="1">
      <c r="A31" s="12" t="inlineStr">
        <is>
          <t>Operating surplus before founder time</t>
        </is>
      </c>
      <c r="B31" s="20" t="n">
        <v>248299</v>
      </c>
      <c r="C31" s="22" t="inlineStr">
        <is>
          <t>MODELLED</t>
        </is>
      </c>
      <c r="D31" s="12" t="inlineStr">
        <is>
          <t>Day 3 (rev − true opex)</t>
        </is>
      </c>
    </row>
    <row r="32" ht="24" customHeight="1">
      <c r="A32" s="12" t="inlineStr">
        <is>
          <t>ACCPAY due (payable signal)</t>
        </is>
      </c>
      <c r="B32" s="20" t="n">
        <v>126877.78</v>
      </c>
      <c r="C32" s="21" t="inlineStr">
        <is>
          <t>VERIFIED</t>
        </is>
      </c>
      <c r="D32" s="12" t="inlineStr">
        <is>
          <t>Area 04 fresh pull</t>
        </is>
      </c>
    </row>
    <row r="33" ht="24" customHeight="1">
      <c r="A33" s="12" t="inlineStr">
        <is>
          <t>Website price per bed</t>
        </is>
      </c>
      <c r="B33" s="20" t="n">
        <v>750</v>
      </c>
      <c r="C33" s="21" t="inlineStr">
        <is>
          <t>VERIFIED</t>
        </is>
      </c>
      <c r="D33" s="12" t="inlineStr">
        <is>
          <t>shop stretch-bed-single</t>
        </is>
      </c>
    </row>
    <row r="34" ht="24" customHeight="1">
      <c r="A34" s="12" t="inlineStr">
        <is>
          <t>Marginal cost / bed (Defy-kit path today)</t>
        </is>
      </c>
      <c r="B34" s="20" t="n">
        <v>684.79</v>
      </c>
      <c r="C34" s="22" t="inlineStr">
        <is>
          <t>MODELLED</t>
        </is>
      </c>
      <c r="D34" s="12" t="inlineStr">
        <is>
          <t>v6 cost model honest_marginal_cost</t>
        </is>
      </c>
    </row>
    <row r="35" ht="24" customHeight="1">
      <c r="A35" s="12" t="inlineStr">
        <is>
          <t>Marginal cost / bed (factory path future)</t>
        </is>
      </c>
      <c r="B35" s="20" t="n">
        <v>425.74</v>
      </c>
      <c r="C35" s="22" t="inlineStr">
        <is>
          <t>MODELLED</t>
        </is>
      </c>
      <c r="D35" s="12" t="inlineStr">
        <is>
          <t>v6 cost model</t>
        </is>
      </c>
    </row>
    <row r="36" ht="24" customHeight="1">
      <c r="A36" s="12" t="inlineStr">
        <is>
          <t>Annual fixed block (at $1,000/day founder basis)</t>
        </is>
      </c>
      <c r="B36" s="20" t="n">
        <v>122700</v>
      </c>
      <c r="C36" s="22" t="inlineStr">
        <is>
          <t>MODELLED</t>
        </is>
      </c>
      <c r="D36" s="12" t="inlineStr">
        <is>
          <t>v6 annual_fixed_block</t>
        </is>
      </c>
    </row>
    <row r="37" ht="24" customHeight="1">
      <c r="A37" s="12" t="inlineStr">
        <is>
          <t>Idiot index — HDPE kit (current $344 vs $40 raw floor)</t>
        </is>
      </c>
      <c r="B37" s="23" t="n">
        <v>8.6</v>
      </c>
      <c r="C37" s="21" t="inlineStr">
        <is>
          <t>VERIFIED</t>
        </is>
      </c>
      <c r="D37" s="12" t="inlineStr">
        <is>
          <t>v6 idiot_index; biggest lever</t>
        </is>
      </c>
    </row>
    <row r="40">
      <c r="A40" s="3" t="inlineStr">
        <is>
          <t>TAB MAP</t>
        </is>
      </c>
    </row>
    <row r="41">
      <c r="A41" s="6" t="inlineStr">
        <is>
          <t>Tab</t>
        </is>
      </c>
      <c r="B41" s="6" t="inlineStr">
        <is>
          <t>What it holds</t>
        </is>
      </c>
    </row>
    <row r="42" ht="26" customHeight="1">
      <c r="A42" s="7" t="inlineStr">
        <is>
          <t>P&amp;L (monthly)</t>
        </is>
      </c>
      <c r="B42" s="12" t="inlineStr">
        <is>
          <t>Revenue + expenses, Day 2/3 basis. FY rollup + founder-time sensitivity (rate-dial driven).</t>
        </is>
      </c>
      <c r="C42" s="15" t="n"/>
      <c r="D42" s="15" t="n"/>
      <c r="E42" s="15" t="n"/>
      <c r="F42" s="15" t="n"/>
      <c r="G42" s="16" t="n"/>
    </row>
    <row r="43" ht="26" customHeight="1">
      <c r="A43" s="7" t="inlineStr">
        <is>
          <t>Balance Sheet &amp; WC</t>
        </is>
      </c>
      <c r="B43" s="12" t="inlineStr">
        <is>
          <t>Working-capital scaffold: known receivables/payables/capex + flagged gaps (inventory, AR/AP ageing, GST, R&amp;D).</t>
        </is>
      </c>
      <c r="C43" s="15" t="n"/>
      <c r="D43" s="15" t="n"/>
      <c r="E43" s="15" t="n"/>
      <c r="F43" s="15" t="n"/>
      <c r="G43" s="16" t="n"/>
    </row>
    <row r="44" ht="26" customHeight="1">
      <c r="A44" s="7" t="inlineStr">
        <is>
          <t>Cashflow 36mo</t>
        </is>
      </c>
      <c r="B44" s="12" t="inlineStr">
        <is>
          <t>May-26→Apr-29 month-by-month. Trough is FORMULA-DRIVEN off the opening-cash dial. Capital injections mapped.</t>
        </is>
      </c>
      <c r="C44" s="15" t="n"/>
      <c r="D44" s="15" t="n"/>
      <c r="E44" s="15" t="n"/>
      <c r="F44" s="15" t="n"/>
      <c r="G44" s="16" t="n"/>
    </row>
    <row r="45" ht="26" customHeight="1">
      <c r="A45" s="7" t="inlineStr">
        <is>
          <t>Cost Ladder</t>
        </is>
      </c>
      <c r="B45" s="12" t="inlineStr">
        <is>
          <t>v6 marginal vs fixed, breakeven, idiot index. Founder-time block driven by the day-rate dial.</t>
        </is>
      </c>
      <c r="C45" s="15" t="n"/>
      <c r="D45" s="15" t="n"/>
      <c r="E45" s="15" t="n"/>
      <c r="F45" s="15" t="n"/>
      <c r="G45" s="16" t="n"/>
    </row>
    <row r="46" ht="26" customHeight="1">
      <c r="A46" s="7" t="inlineStr">
        <is>
          <t>Scenarios</t>
        </is>
      </c>
      <c r="B46" s="12" t="inlineStr">
        <is>
          <t>Base / Upside / Downside summary (Day 9).</t>
        </is>
      </c>
      <c r="C46" s="15" t="n"/>
      <c r="D46" s="15" t="n"/>
      <c r="E46" s="15" t="n"/>
      <c r="F46" s="15" t="n"/>
      <c r="G46" s="16" t="n"/>
    </row>
    <row r="47" ht="26" customHeight="1">
      <c r="A47" s="7" t="inlineStr">
        <is>
          <t>Founder Inputs to Close</t>
        </is>
      </c>
      <c r="B47" s="12" t="inlineStr">
        <is>
          <t>The exact decisions still needed to 'close' the model.</t>
        </is>
      </c>
      <c r="C47" s="15" t="n"/>
      <c r="D47" s="15" t="n"/>
      <c r="E47" s="15" t="n"/>
      <c r="F47" s="15" t="n"/>
      <c r="G47" s="16" t="n"/>
    </row>
  </sheetData>
  <mergeCells count="15">
    <mergeCell ref="B47:G47"/>
    <mergeCell ref="B19:G19"/>
    <mergeCell ref="B20:G20"/>
    <mergeCell ref="B42:G42"/>
    <mergeCell ref="B46:G46"/>
    <mergeCell ref="A9:G9"/>
    <mergeCell ref="A8:G8"/>
    <mergeCell ref="B44:G44"/>
    <mergeCell ref="A6:G6"/>
    <mergeCell ref="B45:G45"/>
    <mergeCell ref="B43:G43"/>
    <mergeCell ref="B18:G18"/>
    <mergeCell ref="A7:G7"/>
    <mergeCell ref="B21:G2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6" customWidth="1" min="4" max="4"/>
    <col width="18" customWidth="1" min="5" max="5"/>
    <col width="16" customWidth="1" min="6" max="6"/>
    <col width="22" customWidth="1" min="7" max="7"/>
  </cols>
  <sheetData>
    <row r="1">
      <c r="A1" s="1" t="inlineStr">
        <is>
          <t>Profit &amp; Loss — actuals basis (Day 2 / Day 3)</t>
        </is>
      </c>
    </row>
    <row r="2">
      <c r="A2" s="2" t="inlineStr">
        <is>
          <t>Revenue VERIFIED (Xero income_type). Expense partial: ACCPAY VERIFIED, bank-only spend MODELLED. Founder time = day-rate dial. Period 2025-01→2026-03.</t>
        </is>
      </c>
    </row>
    <row r="4">
      <c r="A4" s="3" t="inlineStr">
        <is>
          <t>FY ROLLUP</t>
        </is>
      </c>
    </row>
    <row r="5">
      <c r="A5" s="6" t="inlineStr">
        <is>
          <t>FY</t>
        </is>
      </c>
      <c r="B5" s="6" t="inlineStr">
        <is>
          <t>Total Revenue</t>
        </is>
      </c>
      <c r="C5" s="6" t="inlineStr">
        <is>
          <t>Grant</t>
        </is>
      </c>
      <c r="D5" s="6" t="inlineStr">
        <is>
          <t>Commercial</t>
        </is>
      </c>
      <c r="E5" s="6" t="inlineStr">
        <is>
          <t>Expenses (ACCPAY)</t>
        </is>
      </c>
      <c r="F5" s="6" t="inlineStr">
        <is>
          <t>Net (excl founder + capex)</t>
        </is>
      </c>
      <c r="G5" s="6" t="inlineStr">
        <is>
          <t>Status</t>
        </is>
      </c>
    </row>
    <row r="6">
      <c r="A6" s="10" t="inlineStr">
        <is>
          <t>FY25 (Jul24–Jun25)</t>
        </is>
      </c>
      <c r="B6" s="20" t="n">
        <v>249885</v>
      </c>
      <c r="C6" s="20" t="n">
        <v>237885</v>
      </c>
      <c r="D6" s="20" t="n">
        <v>12000</v>
      </c>
      <c r="E6" s="20" t="n">
        <v>103519</v>
      </c>
      <c r="F6" s="20" t="n">
        <v>146366</v>
      </c>
      <c r="G6" s="21" t="inlineStr">
        <is>
          <t>VERIFIED rev / partial exp</t>
        </is>
      </c>
    </row>
    <row r="7">
      <c r="A7" s="10" t="inlineStr">
        <is>
          <t>FY26 YTD (Jul25–Apr26)</t>
        </is>
      </c>
      <c r="B7" s="20" t="n">
        <v>435026</v>
      </c>
      <c r="C7" s="20" t="n">
        <v>373577</v>
      </c>
      <c r="D7" s="20" t="n">
        <v>61449</v>
      </c>
      <c r="E7" s="20" t="n">
        <v>246594</v>
      </c>
      <c r="F7" s="20" t="n">
        <v>188432</v>
      </c>
      <c r="G7" s="21" t="inlineStr">
        <is>
          <t>VERIFIED rev / partial exp</t>
        </is>
      </c>
    </row>
    <row r="8">
      <c r="A8" s="24" t="inlineStr">
        <is>
          <t>Cumulative</t>
        </is>
      </c>
      <c r="B8" s="25" t="n">
        <v>684911</v>
      </c>
      <c r="C8" s="25" t="n">
        <v>611462</v>
      </c>
      <c r="D8" s="25" t="n">
        <v>73449</v>
      </c>
      <c r="E8" s="25" t="n">
        <v>350112</v>
      </c>
      <c r="F8" s="25" t="n">
        <v>334799</v>
      </c>
      <c r="G8" s="21" t="inlineStr">
        <is>
          <t>VERIFIED rev / partial exp</t>
        </is>
      </c>
    </row>
    <row r="10" ht="26" customHeight="1">
      <c r="A10" s="26" t="inlineStr">
        <is>
          <t>Expense ratio = ACCPAY / revenue = 51% — EXCLUDES founder time, bank-only spend (+$86,499) and capex. Once those land, margin worsens (Day 3).</t>
        </is>
      </c>
    </row>
    <row r="12">
      <c r="A12" s="3" t="inlineStr">
        <is>
          <t>TRUE OPERATING EXPENSE BRIDGE (Day 3)</t>
        </is>
      </c>
    </row>
    <row r="13">
      <c r="A13" s="6" t="inlineStr">
        <is>
          <t>Item</t>
        </is>
      </c>
      <c r="B13" s="6" t="inlineStr">
        <is>
          <t>Amount</t>
        </is>
      </c>
      <c r="C13" s="6" t="inlineStr">
        <is>
          <t>Status</t>
        </is>
      </c>
    </row>
    <row r="14">
      <c r="A14" s="12" t="inlineStr">
        <is>
          <t>ACCPAY invoiced (Goods-tagged, 225 invoices)</t>
        </is>
      </c>
      <c r="B14" s="23" t="n">
        <v>350112.34</v>
      </c>
      <c r="C14" s="21" t="inlineStr">
        <is>
          <t>VERIFIED</t>
        </is>
      </c>
    </row>
    <row r="15">
      <c r="A15" s="12" t="inlineStr">
        <is>
          <t>Plus: incremental bank SPEND (56 txns, no ACCPAY match)</t>
        </is>
      </c>
      <c r="B15" s="23" t="n">
        <v>86499.49000000001</v>
      </c>
      <c r="C15" s="22" t="inlineStr">
        <is>
          <t>MODELLED</t>
        </is>
      </c>
    </row>
    <row r="16">
      <c r="A16" s="27">
        <f> True total operating expense</f>
        <v/>
      </c>
      <c r="B16" s="28" t="n">
        <v>436611.83</v>
      </c>
      <c r="C16" s="22" t="inlineStr">
        <is>
          <t>MODELLED</t>
        </is>
      </c>
    </row>
    <row r="17">
      <c r="A17" s="27" t="inlineStr">
        <is>
          <t>Operating surplus BEFORE founder time</t>
        </is>
      </c>
      <c r="B17" s="28" t="n">
        <v>248299</v>
      </c>
      <c r="C17" s="22" t="inlineStr">
        <is>
          <t>MODELLED</t>
        </is>
      </c>
    </row>
    <row r="18">
      <c r="A18" s="12" t="inlineStr">
        <is>
          <t>Operating margin before founder time</t>
        </is>
      </c>
      <c r="B18" s="29" t="n">
        <v>0.363</v>
      </c>
      <c r="C18" s="22" t="inlineStr">
        <is>
          <t>MODELLED</t>
        </is>
      </c>
    </row>
    <row r="20" ht="40" customHeight="1">
      <c r="A20" s="26" t="inlineStr">
        <is>
          <t>Largest single bank-only items: Samuel Hafer $19,500 (design consultancy, 2025-09-11); Defy ×5; freight (Peak Up, Loadshift). Paid via 'NJ Marchesi T/as ACT Everyday' (Nic personal) + NAB Visa ACT — entity-cleanliness flag for carve-out.</t>
        </is>
      </c>
    </row>
    <row r="22">
      <c r="A22" s="3" t="inlineStr">
        <is>
          <t>FOUNDER-TIME SENSITIVITY  (annual cost = day-rate dial × 250 days × combined FTE)</t>
        </is>
      </c>
    </row>
    <row r="23" ht="24" customHeight="1">
      <c r="A23" s="26" t="inlineStr">
        <is>
          <t>Day-rate dial currently → see README!B (yellow). 250 working days/yr assumed. All-in below uses combined FTE multiples of one full founder-year.</t>
        </is>
      </c>
    </row>
    <row r="24">
      <c r="A24" s="6" t="inlineStr">
        <is>
          <t>Scenario</t>
        </is>
      </c>
      <c r="B24" s="6" t="inlineStr">
        <is>
          <t>Ben FTE</t>
        </is>
      </c>
      <c r="C24" s="6" t="inlineStr">
        <is>
          <t>Nic FTE</t>
        </is>
      </c>
      <c r="D24" s="6" t="inlineStr">
        <is>
          <t>Combined FTE</t>
        </is>
      </c>
      <c r="E24" s="6" t="inlineStr">
        <is>
          <t>Annual founder cost</t>
        </is>
      </c>
      <c r="F24" s="6" t="inlineStr">
        <is>
          <t>Monthly</t>
        </is>
      </c>
      <c r="G24" s="6" t="inlineStr">
        <is>
          <t>Status</t>
        </is>
      </c>
    </row>
    <row r="25">
      <c r="A25" s="7" t="inlineStr">
        <is>
          <t>Conservative</t>
        </is>
      </c>
      <c r="B25" s="30" t="n">
        <v>0.25</v>
      </c>
      <c r="C25" s="30" t="n">
        <v>0.25</v>
      </c>
      <c r="D25" s="30" t="n">
        <v>0.5</v>
      </c>
      <c r="E25" s="20">
        <f>'README &amp; Assumptions'!$B$14*250*0.5</f>
        <v/>
      </c>
      <c r="F25" s="20">
        <f>'README &amp; Assumptions'!$B$14*250*0.5/12</f>
        <v/>
      </c>
      <c r="G25" s="22" t="inlineStr">
        <is>
          <t>MODELLED</t>
        </is>
      </c>
    </row>
    <row r="26">
      <c r="A26" s="7" t="inlineStr">
        <is>
          <t>Mid</t>
        </is>
      </c>
      <c r="B26" s="30" t="n">
        <v>0.5</v>
      </c>
      <c r="C26" s="30" t="n">
        <v>0.5</v>
      </c>
      <c r="D26" s="30" t="n">
        <v>1</v>
      </c>
      <c r="E26" s="20">
        <f>'README &amp; Assumptions'!$B$14*250*1.0</f>
        <v/>
      </c>
      <c r="F26" s="20">
        <f>'README &amp; Assumptions'!$B$14*250*1.0/12</f>
        <v/>
      </c>
      <c r="G26" s="22" t="inlineStr">
        <is>
          <t>MODELLED</t>
        </is>
      </c>
    </row>
    <row r="27">
      <c r="A27" s="7" t="inlineStr">
        <is>
          <t>High</t>
        </is>
      </c>
      <c r="B27" s="30" t="n">
        <v>0.75</v>
      </c>
      <c r="C27" s="30" t="n">
        <v>0.5</v>
      </c>
      <c r="D27" s="30" t="n">
        <v>1.25</v>
      </c>
      <c r="E27" s="20">
        <f>'README &amp; Assumptions'!$B$14*250*1.25</f>
        <v/>
      </c>
      <c r="F27" s="20">
        <f>'README &amp; Assumptions'!$B$14*250*1.25/12</f>
        <v/>
      </c>
      <c r="G27" s="22" t="inlineStr">
        <is>
          <t>MODELLED</t>
        </is>
      </c>
    </row>
    <row r="28">
      <c r="A28" s="7" t="inlineStr">
        <is>
          <t>All-in</t>
        </is>
      </c>
      <c r="B28" s="30" t="n">
        <v>0.8</v>
      </c>
      <c r="C28" s="30" t="n">
        <v>0.7</v>
      </c>
      <c r="D28" s="30" t="n">
        <v>1.5</v>
      </c>
      <c r="E28" s="20">
        <f>'README &amp; Assumptions'!$B$14*250*1.5</f>
        <v/>
      </c>
      <c r="F28" s="20">
        <f>'README &amp; Assumptions'!$B$14*250*1.5/12</f>
        <v/>
      </c>
      <c r="G28" s="22" t="inlineStr">
        <is>
          <t>MODELLED</t>
        </is>
      </c>
    </row>
    <row r="30" ht="44" customHeight="1">
      <c r="A30" s="26" t="inlineStr">
        <is>
          <t>Day 3 honest read: at Mid scenario incl. founder time, cumulative operating margin lands ≈ −11% (≈ −$78,400 over 27 months). Conservative is positive; All-in deeper negative. This is the truthful early-stage social-enterprise picture, and justifies patient/concessional capital.</t>
        </is>
      </c>
    </row>
    <row r="32">
      <c r="A32" s="3" t="inlineStr">
        <is>
          <t>REVENUE MIX (Day 5, on $684,911 basis)</t>
        </is>
      </c>
    </row>
    <row r="33">
      <c r="A33" s="6" t="inlineStr">
        <is>
          <t>Segment</t>
        </is>
      </c>
      <c r="B33" s="6" t="inlineStr">
        <is>
          <t>To date</t>
        </is>
      </c>
      <c r="C33" s="6" t="inlineStr">
        <is>
          <t>% of total</t>
        </is>
      </c>
      <c r="D33" s="6" t="inlineStr">
        <is>
          <t>Status</t>
        </is>
      </c>
    </row>
    <row r="34">
      <c r="A34" s="12" t="inlineStr">
        <is>
          <t>Donor-funded institutional distribution</t>
        </is>
      </c>
      <c r="B34" s="20" t="n">
        <v>611461</v>
      </c>
      <c r="C34" s="30" t="n">
        <v>0.893</v>
      </c>
      <c r="D34" s="21" t="inlineStr">
        <is>
          <t>VERIFIED</t>
        </is>
      </c>
    </row>
    <row r="35">
      <c r="A35" s="12" t="inlineStr">
        <is>
          <t>Direct institutional commercial</t>
        </is>
      </c>
      <c r="B35" s="20" t="n">
        <v>45499</v>
      </c>
      <c r="C35" s="30" t="n">
        <v>0.066</v>
      </c>
      <c r="D35" s="21" t="inlineStr">
        <is>
          <t>VERIFIED</t>
        </is>
      </c>
    </row>
    <row r="36">
      <c r="A36" s="12" t="inlineStr">
        <is>
          <t>Corporate sponsorship / RAP</t>
        </is>
      </c>
      <c r="B36" s="20" t="n">
        <v>12000</v>
      </c>
      <c r="C36" s="30" t="n">
        <v>0.018</v>
      </c>
      <c r="D36" s="21" t="inlineStr">
        <is>
          <t>VERIFIED</t>
        </is>
      </c>
    </row>
    <row r="37">
      <c r="A37" s="12" t="inlineStr">
        <is>
          <t>Community / maker partners</t>
        </is>
      </c>
      <c r="B37" s="20" t="n">
        <v>15950</v>
      </c>
      <c r="C37" s="30" t="n">
        <v>0.023</v>
      </c>
      <c r="D37" s="21" t="inlineStr">
        <is>
          <t>VERIFIED</t>
        </is>
      </c>
    </row>
    <row r="38">
      <c r="A38" s="12" t="inlineStr">
        <is>
          <t>Government procurement</t>
        </is>
      </c>
      <c r="B38" s="20" t="n">
        <v>0</v>
      </c>
      <c r="C38" s="30" t="n">
        <v>0</v>
      </c>
      <c r="D38" s="11" t="inlineStr">
        <is>
          <t>TO CONFIRM</t>
        </is>
      </c>
    </row>
    <row r="39">
      <c r="A39" s="12" t="inlineStr">
        <is>
          <t>Direct retail / B2C</t>
        </is>
      </c>
      <c r="B39" s="20" t="n">
        <v>0</v>
      </c>
      <c r="C39" s="30" t="n">
        <v>0</v>
      </c>
      <c r="D39" s="11" t="inlineStr">
        <is>
          <t>TO CONFIRM</t>
        </is>
      </c>
    </row>
    <row r="40">
      <c r="A40" s="12" t="inlineStr">
        <is>
          <t>Adjacent markets</t>
        </is>
      </c>
      <c r="B40" s="20" t="n">
        <v>0</v>
      </c>
      <c r="C40" s="30" t="n">
        <v>0</v>
      </c>
      <c r="D40" s="11" t="inlineStr">
        <is>
          <t>TO CONFIRM</t>
        </is>
      </c>
    </row>
    <row r="42" ht="24" customHeight="1">
      <c r="A42" s="26" t="inlineStr">
        <is>
          <t>Read: 'diversified early revenue with strong donor-funded institutional validation' — NOT 'self-sustaining trading business' (Area 04).</t>
        </is>
      </c>
    </row>
  </sheetData>
  <mergeCells count="5">
    <mergeCell ref="A20:G20"/>
    <mergeCell ref="A30:G30"/>
    <mergeCell ref="A10:G10"/>
    <mergeCell ref="A42:G42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56" customWidth="1" min="4" max="4"/>
  </cols>
  <sheetData>
    <row r="1">
      <c r="A1" s="1" t="inlineStr">
        <is>
          <t>Balance Sheet / Working-Capital Schedule — scaffold v0.1</t>
        </is>
      </c>
    </row>
    <row r="2">
      <c r="A2" s="2" t="inlineStr">
        <is>
          <t>Known items populated; Area-04 gaps scaffolded as TO CONFIRM (NOT fabricated). Needs accountant-reviewed ACT-GD carve-out to complete.</t>
        </is>
      </c>
    </row>
    <row r="4">
      <c r="A4" s="3" t="inlineStr">
        <is>
          <t>ASSETS</t>
        </is>
      </c>
    </row>
    <row r="5">
      <c r="A5" s="6" t="inlineStr">
        <is>
          <t>Line item</t>
        </is>
      </c>
      <c r="B5" s="6" t="inlineStr">
        <is>
          <t>Amount</t>
        </is>
      </c>
      <c r="C5" s="6" t="inlineStr">
        <is>
          <t>Status</t>
        </is>
      </c>
      <c r="D5" s="6" t="inlineStr">
        <is>
          <t>Source / note</t>
        </is>
      </c>
    </row>
    <row r="6" ht="30" customHeight="1">
      <c r="A6" s="12" t="inlineStr">
        <is>
          <t>Cash — opening @ 1 May 2026</t>
        </is>
      </c>
      <c r="B6" s="31">
        <f>'README &amp; Assumptions'!$B$13</f>
        <v/>
      </c>
      <c r="C6" s="11" t="inlineStr">
        <is>
          <t>TO CONFIRM</t>
        </is>
      </c>
      <c r="D6" s="12" t="inlineStr">
        <is>
          <t>LIVE DIAL (README!B). $50,000 placeholder; confirm Goods-earmarked cash.</t>
        </is>
      </c>
    </row>
    <row r="7" ht="30" customHeight="1">
      <c r="A7" s="12" t="inlineStr">
        <is>
          <t>Accounts receivable — Rotary INV-0222</t>
        </is>
      </c>
      <c r="B7" s="23" t="n">
        <v>82500</v>
      </c>
      <c r="C7" s="21" t="inlineStr">
        <is>
          <t>VERIFIED</t>
        </is>
      </c>
      <c r="D7" s="12" t="inlineStr">
        <is>
          <t>ACT-GD ACCREC due, authorised (Area 04 fresh pull).</t>
        </is>
      </c>
    </row>
    <row r="8" ht="30" customHeight="1">
      <c r="A8" s="12" t="inlineStr">
        <is>
          <t>Accounts receivable — full AR ageing</t>
        </is>
      </c>
      <c r="B8" s="9" t="inlineStr">
        <is>
          <t>—</t>
        </is>
      </c>
      <c r="C8" s="11" t="inlineStr">
        <is>
          <t>TO CONFIRM</t>
        </is>
      </c>
      <c r="D8" s="12" t="inlineStr">
        <is>
          <t>Need 30/60/90 ageing by invoice from accountant.</t>
        </is>
      </c>
    </row>
    <row r="9" ht="30" customHeight="1">
      <c r="A9" s="12" t="inlineStr">
        <is>
          <t>Inventory — finished beds + materials WIP</t>
        </is>
      </c>
      <c r="B9" s="9" t="inlineStr">
        <is>
          <t>—</t>
        </is>
      </c>
      <c r="C9" s="11" t="inlineStr">
        <is>
          <t>TO CONFIRM</t>
        </is>
      </c>
      <c r="D9" s="12" t="inlineStr">
        <is>
          <t>Not yet valued. SIH flagged standing inventory for B2C. Day 6 modelled $50K one-time build.</t>
        </is>
      </c>
    </row>
    <row r="10" ht="30" customHeight="1">
      <c r="A10" s="12" t="inlineStr">
        <is>
          <t>Plant &amp; equipment (capex already invested)</t>
        </is>
      </c>
      <c r="B10" s="23" t="n">
        <v>110046</v>
      </c>
      <c r="C10" s="21" t="inlineStr">
        <is>
          <t>VERIFIED</t>
        </is>
      </c>
      <c r="D10" s="12" t="inlineStr">
        <is>
          <t>v6 factory_economics already_invested; net of depreciation TBC.</t>
        </is>
      </c>
    </row>
    <row r="11" ht="30" customHeight="1">
      <c r="A11" s="12" t="inlineStr">
        <is>
          <t>Plant &amp; equipment — facility build (planned)</t>
        </is>
      </c>
      <c r="B11" s="23" t="n">
        <v>100000</v>
      </c>
      <c r="C11" s="32" t="inlineStr">
        <is>
          <t>TARGET</t>
        </is>
      </c>
      <c r="D11" s="12" t="inlineStr">
        <is>
          <t>v6 capex band $112K–$222K; net capital ask $90K–$200K after $110K invested.</t>
        </is>
      </c>
    </row>
    <row r="12" ht="30" customHeight="1">
      <c r="A12" s="12" t="inlineStr">
        <is>
          <t>R&amp;D Tax Incentive refund receivable</t>
        </is>
      </c>
      <c r="B12" s="9" t="inlineStr">
        <is>
          <t>—</t>
        </is>
      </c>
      <c r="C12" s="11" t="inlineStr">
        <is>
          <t>TO CONFIRM</t>
        </is>
      </c>
      <c r="D12" s="12" t="inlineStr">
        <is>
          <t>~$80K/yr modelled (Day 6/8). Eligibility structural; accrual treatment TBC.</t>
        </is>
      </c>
    </row>
    <row r="14">
      <c r="A14" s="3" t="inlineStr">
        <is>
          <t>LIABILITIES</t>
        </is>
      </c>
    </row>
    <row r="15">
      <c r="A15" s="6" t="inlineStr">
        <is>
          <t>Line item</t>
        </is>
      </c>
      <c r="B15" s="6" t="inlineStr">
        <is>
          <t>Amount</t>
        </is>
      </c>
      <c r="C15" s="6" t="inlineStr">
        <is>
          <t>Status</t>
        </is>
      </c>
      <c r="D15" s="6" t="inlineStr">
        <is>
          <t>Source / note</t>
        </is>
      </c>
    </row>
    <row r="16" ht="30" customHeight="1">
      <c r="A16" s="12" t="inlineStr">
        <is>
          <t>Accounts payable — ACT-GD ACCPAY due</t>
        </is>
      </c>
      <c r="B16" s="23" t="n">
        <v>126877.78</v>
      </c>
      <c r="C16" s="21" t="inlineStr">
        <is>
          <t>VERIFIED</t>
        </is>
      </c>
      <c r="D16" s="12" t="inlineStr">
        <is>
          <t>Fresh 2026-05-29 pull (Area 04). Bill basis, not deduplicated cash.</t>
        </is>
      </c>
    </row>
    <row r="17" ht="30" customHeight="1">
      <c r="A17" s="12" t="inlineStr">
        <is>
          <t>Accounts payable — full AP ageing</t>
        </is>
      </c>
      <c r="B17" s="9" t="inlineStr">
        <is>
          <t>—</t>
        </is>
      </c>
      <c r="C17" s="11" t="inlineStr">
        <is>
          <t>TO CONFIRM</t>
        </is>
      </c>
      <c r="D17" s="12" t="inlineStr">
        <is>
          <t>Need 30/60/90 supplier ageing from accountant.</t>
        </is>
      </c>
    </row>
    <row r="18" ht="30" customHeight="1">
      <c r="A18" s="12" t="inlineStr">
        <is>
          <t>GST payable / receivable (BAS position)</t>
        </is>
      </c>
      <c r="B18" s="9" t="inlineStr">
        <is>
          <t>—</t>
        </is>
      </c>
      <c r="C18" s="11" t="inlineStr">
        <is>
          <t>TO CONFIRM</t>
        </is>
      </c>
      <c r="D18" s="12" t="inlineStr">
        <is>
          <t>Funder pages are ex-GST; Xero cash pull is inc-GST. Net GST position TBC.</t>
        </is>
      </c>
    </row>
    <row r="19" ht="30" customHeight="1">
      <c r="A19" s="12" t="inlineStr">
        <is>
          <t>Director loan / reimbursement (Nic personal acct)</t>
        </is>
      </c>
      <c r="B19" s="9" t="inlineStr">
        <is>
          <t>—</t>
        </is>
      </c>
      <c r="C19" s="11" t="inlineStr">
        <is>
          <t>TO CONFIRM</t>
        </is>
      </c>
      <c r="D19" s="12" t="inlineStr">
        <is>
          <t>Goods opex paid via 'NJ Marchesi T/as ACT Everyday'. May create director-loan obligation (Mint Ellison).</t>
        </is>
      </c>
    </row>
    <row r="20" ht="30" customHeight="1">
      <c r="A20" s="12" t="inlineStr">
        <is>
          <t>Debt — SEFA working capital (planned)</t>
        </is>
      </c>
      <c r="B20" s="23" t="n">
        <v>300000</v>
      </c>
      <c r="C20" s="22" t="inlineStr">
        <is>
          <t>MODELLED</t>
        </is>
      </c>
      <c r="D20" s="12" t="inlineStr">
        <is>
          <t>Day 8 concessional; ~4–6%, close target Nov 2026. NOT drawn.</t>
        </is>
      </c>
    </row>
    <row r="22">
      <c r="A22" s="3" t="inlineStr">
        <is>
          <t>WORKING-CAPITAL SIGNAL (verified Xero invoice basis, not statutory)</t>
        </is>
      </c>
    </row>
    <row r="23">
      <c r="A23" s="6" t="inlineStr">
        <is>
          <t>Item</t>
        </is>
      </c>
      <c r="B23" s="6" t="inlineStr">
        <is>
          <t>Amount</t>
        </is>
      </c>
      <c r="C23" s="6" t="inlineStr">
        <is>
          <t>Status</t>
        </is>
      </c>
      <c r="D23" s="6" t="inlineStr">
        <is>
          <t>Note</t>
        </is>
      </c>
    </row>
    <row r="25">
      <c r="A25" s="10" t="inlineStr">
        <is>
          <t>Receivables due (AR signal)</t>
        </is>
      </c>
      <c r="B25" s="23" t="n">
        <v>82500</v>
      </c>
      <c r="C25" s="21" t="inlineStr">
        <is>
          <t>VERIFIED</t>
        </is>
      </c>
      <c r="D25" s="10" t="inlineStr">
        <is>
          <t>ACT-GD ACCREC due</t>
        </is>
      </c>
    </row>
    <row r="26">
      <c r="A26" s="10" t="inlineStr">
        <is>
          <t>Payables due (AP signal)</t>
        </is>
      </c>
      <c r="B26" s="23" t="n">
        <v>126877.78</v>
      </c>
      <c r="C26" s="21" t="inlineStr">
        <is>
          <t>VERIFIED</t>
        </is>
      </c>
      <c r="D26" s="10" t="inlineStr">
        <is>
          <t>ACT-GD ACCPAY due</t>
        </is>
      </c>
    </row>
    <row r="27" ht="30" customHeight="1">
      <c r="A27" s="7" t="inlineStr">
        <is>
          <t>Net working-capital signal (AR − AP)</t>
        </is>
      </c>
      <c r="B27" s="33">
        <f>B25-B26</f>
        <v/>
      </c>
      <c r="C27" s="22" t="inlineStr">
        <is>
          <t>MODELLED</t>
        </is>
      </c>
      <c r="D27" s="12" t="inlineStr">
        <is>
          <t>Negative ≈ −$44.4K: payables exceed authorised receivables. Underlines the cash-tightness the cashflow tab models.</t>
        </is>
      </c>
    </row>
    <row r="29" ht="40" customHeight="1">
      <c r="A29" s="26" t="inlineStr">
        <is>
          <t>This is a working-capital SCAFFOLD, not a balance sheet that balances. A full balance sheet requires the accountant-reviewed ACT-GD carve-out, equity/retained-earnings, depreciation schedule, GST and inventory valuation (Area 04 'minimum inputs to close').</t>
        </is>
      </c>
    </row>
  </sheetData>
  <mergeCells count="1">
    <mergeCell ref="A29:D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Cashflow projection — 36 months (May 2026 → Apr 2029)</t>
        </is>
      </c>
    </row>
    <row r="2">
      <c r="A2" s="2" t="inlineStr">
        <is>
          <t>MODELLED. Opening cash = LIVE DIAL. Cumulative-cash column is FORMULA-DRIVEN so the trough moves with the dial. Capital injections per Day 8.</t>
        </is>
      </c>
    </row>
    <row r="4" ht="24" customHeight="1">
      <c r="A4" s="26" t="inlineStr">
        <is>
          <t>Documented trough anchors (base case, $50K opening): −$94,483 Aug-2026 · downside −$171K Nov-2026 · upside −$15K Aug-2026 (Day 6/9).</t>
        </is>
      </c>
    </row>
    <row r="5" ht="28" customHeight="1">
      <c r="A5" s="26" t="inlineStr">
        <is>
          <t>Net monthly cashflow below is the documented base-case monthly delta series implied by the Day-6 milestones (opening→trough→injections→FY closes). Change the opening-cash dial to re-base the cumulative line and trough.</t>
        </is>
      </c>
    </row>
    <row r="7">
      <c r="A7" s="6" t="inlineStr">
        <is>
          <t>Month</t>
        </is>
      </c>
      <c r="B7" s="6" t="inlineStr">
        <is>
          <t>Net op cashflow</t>
        </is>
      </c>
      <c r="C7" s="6" t="inlineStr">
        <is>
          <t>Capital in</t>
        </is>
      </c>
      <c r="D7" s="6" t="inlineStr">
        <is>
          <t>Net monthly Δ</t>
        </is>
      </c>
      <c r="E7" s="6" t="inlineStr">
        <is>
          <t>Cumulative cash</t>
        </is>
      </c>
      <c r="F7" s="6" t="inlineStr">
        <is>
          <t>Buffer state</t>
        </is>
      </c>
      <c r="G7" s="6" t="inlineStr">
        <is>
          <t>Status</t>
        </is>
      </c>
    </row>
    <row r="8">
      <c r="A8" s="9" t="inlineStr">
        <is>
          <t>May 2026</t>
        </is>
      </c>
      <c r="B8" s="20" t="n">
        <v>0</v>
      </c>
      <c r="C8" s="20" t="n"/>
      <c r="D8" s="20">
        <f>B8+C8</f>
        <v/>
      </c>
      <c r="E8" s="34">
        <f>'README &amp; Assumptions'!$B$13+D8</f>
        <v/>
      </c>
      <c r="F8" s="22" t="inlineStr">
        <is>
          <t>BELOW_FLOOR</t>
        </is>
      </c>
      <c r="G8" s="22" t="inlineStr">
        <is>
          <t>MODELLED</t>
        </is>
      </c>
    </row>
    <row r="9">
      <c r="A9" s="9" t="inlineStr">
        <is>
          <t>Jun 2026</t>
        </is>
      </c>
      <c r="B9" s="20" t="n">
        <v>-48161</v>
      </c>
      <c r="C9" s="20" t="n"/>
      <c r="D9" s="20">
        <f>B9+C9</f>
        <v/>
      </c>
      <c r="E9" s="20">
        <f>E8+D9</f>
        <v/>
      </c>
      <c r="F9" s="35" t="inlineStr">
        <is>
          <t>NEGATIVE</t>
        </is>
      </c>
      <c r="G9" s="22" t="inlineStr">
        <is>
          <t>MODELLED</t>
        </is>
      </c>
    </row>
    <row r="10">
      <c r="A10" s="9" t="inlineStr">
        <is>
          <t>Jul 2026</t>
        </is>
      </c>
      <c r="B10" s="20" t="n">
        <v>-48161</v>
      </c>
      <c r="C10" s="20" t="n"/>
      <c r="D10" s="20">
        <f>B10+C10</f>
        <v/>
      </c>
      <c r="E10" s="20">
        <f>E9+D10</f>
        <v/>
      </c>
      <c r="F10" s="35" t="inlineStr">
        <is>
          <t>NEGATIVE</t>
        </is>
      </c>
      <c r="G10" s="22" t="inlineStr">
        <is>
          <t>MODELLED</t>
        </is>
      </c>
    </row>
    <row r="11">
      <c r="A11" s="9" t="inlineStr">
        <is>
          <t>Aug 2026</t>
        </is>
      </c>
      <c r="B11" s="20" t="n">
        <v>-48161</v>
      </c>
      <c r="C11" s="20" t="n"/>
      <c r="D11" s="20">
        <f>B11+C11</f>
        <v/>
      </c>
      <c r="E11" s="20">
        <f>E10+D11</f>
        <v/>
      </c>
      <c r="F11" s="35" t="inlineStr">
        <is>
          <t>NEGATIVE</t>
        </is>
      </c>
      <c r="G11" s="22" t="inlineStr">
        <is>
          <t>MODELLED</t>
        </is>
      </c>
    </row>
    <row r="12">
      <c r="A12" s="9" t="inlineStr">
        <is>
          <t>Sep 2026</t>
        </is>
      </c>
      <c r="B12" s="20" t="n">
        <v>-2042</v>
      </c>
      <c r="C12" s="20" t="n">
        <v>400000</v>
      </c>
      <c r="D12" s="20">
        <f>B12+C12</f>
        <v/>
      </c>
      <c r="E12" s="20">
        <f>E11+D12</f>
        <v/>
      </c>
      <c r="F12" s="22" t="inlineStr">
        <is>
          <t>BELOW_TARGET</t>
        </is>
      </c>
      <c r="G12" s="22" t="inlineStr">
        <is>
          <t>MODELLED</t>
        </is>
      </c>
    </row>
    <row r="13">
      <c r="A13" s="9" t="inlineStr">
        <is>
          <t>Oct 2026</t>
        </is>
      </c>
      <c r="B13" s="20" t="n">
        <v>-54208</v>
      </c>
      <c r="C13" s="20" t="n"/>
      <c r="D13" s="20">
        <f>B13+C13</f>
        <v/>
      </c>
      <c r="E13" s="20">
        <f>E12+D13</f>
        <v/>
      </c>
      <c r="F13" s="22" t="inlineStr">
        <is>
          <t>BELOW_TARGET</t>
        </is>
      </c>
      <c r="G13" s="22" t="inlineStr">
        <is>
          <t>MODELLED</t>
        </is>
      </c>
    </row>
    <row r="14">
      <c r="A14" s="9" t="inlineStr">
        <is>
          <t>Nov 2026</t>
        </is>
      </c>
      <c r="B14" s="20" t="n">
        <v>-54208</v>
      </c>
      <c r="C14" s="20" t="n">
        <v>300000</v>
      </c>
      <c r="D14" s="20">
        <f>B14+C14</f>
        <v/>
      </c>
      <c r="E14" s="20">
        <f>E13+D14</f>
        <v/>
      </c>
      <c r="F14" s="22" t="inlineStr">
        <is>
          <t>BELOW_FLOOR</t>
        </is>
      </c>
      <c r="G14" s="22" t="inlineStr">
        <is>
          <t>MODELLED</t>
        </is>
      </c>
    </row>
    <row r="15">
      <c r="A15" s="9" t="inlineStr">
        <is>
          <t>Dec 2026</t>
        </is>
      </c>
      <c r="B15" s="20" t="n">
        <v>-12875</v>
      </c>
      <c r="C15" s="20" t="n"/>
      <c r="D15" s="20">
        <f>B15+C15</f>
        <v/>
      </c>
      <c r="E15" s="20">
        <f>E14+D15</f>
        <v/>
      </c>
      <c r="F15" s="22" t="inlineStr">
        <is>
          <t>BELOW_TARGET</t>
        </is>
      </c>
      <c r="G15" s="22" t="inlineStr">
        <is>
          <t>MODELLED</t>
        </is>
      </c>
    </row>
    <row r="16">
      <c r="A16" s="9" t="inlineStr">
        <is>
          <t>Jan 2027</t>
        </is>
      </c>
      <c r="B16" s="20" t="n">
        <v>-12875</v>
      </c>
      <c r="C16" s="20" t="n">
        <v>500000</v>
      </c>
      <c r="D16" s="20">
        <f>B16+C16</f>
        <v/>
      </c>
      <c r="E16" s="20">
        <f>E15+D16</f>
        <v/>
      </c>
      <c r="F16" s="21" t="inlineStr">
        <is>
          <t>OK</t>
        </is>
      </c>
      <c r="G16" s="22" t="inlineStr">
        <is>
          <t>MODELLED</t>
        </is>
      </c>
    </row>
    <row r="17">
      <c r="A17" s="9" t="inlineStr">
        <is>
          <t>Feb 2027</t>
        </is>
      </c>
      <c r="B17" s="20" t="n">
        <v>7681</v>
      </c>
      <c r="C17" s="20" t="n"/>
      <c r="D17" s="20">
        <f>B17+C17</f>
        <v/>
      </c>
      <c r="E17" s="20">
        <f>E16+D17</f>
        <v/>
      </c>
      <c r="F17" s="21" t="inlineStr">
        <is>
          <t>OK</t>
        </is>
      </c>
      <c r="G17" s="22" t="inlineStr">
        <is>
          <t>MODELLED</t>
        </is>
      </c>
    </row>
    <row r="18">
      <c r="A18" s="9" t="inlineStr">
        <is>
          <t>Mar 2027</t>
        </is>
      </c>
      <c r="B18" s="20" t="n">
        <v>7681</v>
      </c>
      <c r="C18" s="20" t="n"/>
      <c r="D18" s="20">
        <f>B18+C18</f>
        <v/>
      </c>
      <c r="E18" s="20">
        <f>E17+D18</f>
        <v/>
      </c>
      <c r="F18" s="21" t="inlineStr">
        <is>
          <t>OK</t>
        </is>
      </c>
      <c r="G18" s="22" t="inlineStr">
        <is>
          <t>MODELLED</t>
        </is>
      </c>
    </row>
    <row r="19">
      <c r="A19" s="9" t="inlineStr">
        <is>
          <t>Apr 2027</t>
        </is>
      </c>
      <c r="B19" s="20" t="n">
        <v>7681</v>
      </c>
      <c r="C19" s="20" t="n"/>
      <c r="D19" s="20">
        <f>B19+C19</f>
        <v/>
      </c>
      <c r="E19" s="20">
        <f>E18+D19</f>
        <v/>
      </c>
      <c r="F19" s="21" t="inlineStr">
        <is>
          <t>OK</t>
        </is>
      </c>
      <c r="G19" s="22" t="inlineStr">
        <is>
          <t>MODELLED</t>
        </is>
      </c>
    </row>
    <row r="20">
      <c r="A20" s="9" t="inlineStr">
        <is>
          <t>May 2027</t>
        </is>
      </c>
      <c r="B20" s="20" t="n">
        <v>97281</v>
      </c>
      <c r="C20" s="20" t="n"/>
      <c r="D20" s="20">
        <f>B20+C20</f>
        <v/>
      </c>
      <c r="E20" s="20">
        <f>E19+D20</f>
        <v/>
      </c>
      <c r="F20" s="21" t="inlineStr">
        <is>
          <t>OK</t>
        </is>
      </c>
      <c r="G20" s="22" t="inlineStr">
        <is>
          <t>MODELLED</t>
        </is>
      </c>
    </row>
    <row r="21">
      <c r="A21" s="9" t="inlineStr">
        <is>
          <t>Jun 2027</t>
        </is>
      </c>
      <c r="B21" s="20" t="n">
        <v>97281</v>
      </c>
      <c r="C21" s="20" t="n"/>
      <c r="D21" s="20">
        <f>B21+C21</f>
        <v/>
      </c>
      <c r="E21" s="20">
        <f>E20+D21</f>
        <v/>
      </c>
      <c r="F21" s="21" t="inlineStr">
        <is>
          <t>OK</t>
        </is>
      </c>
      <c r="G21" s="22" t="inlineStr">
        <is>
          <t>MODELLED</t>
        </is>
      </c>
    </row>
    <row r="22">
      <c r="A22" s="9" t="inlineStr">
        <is>
          <t>Jul 2027</t>
        </is>
      </c>
      <c r="B22" s="20" t="n">
        <v>97281</v>
      </c>
      <c r="C22" s="20" t="n"/>
      <c r="D22" s="20">
        <f>B22+C22</f>
        <v/>
      </c>
      <c r="E22" s="20">
        <f>E21+D22</f>
        <v/>
      </c>
      <c r="F22" s="21" t="inlineStr">
        <is>
          <t>OK</t>
        </is>
      </c>
      <c r="G22" s="22" t="inlineStr">
        <is>
          <t>MODELLED</t>
        </is>
      </c>
    </row>
    <row r="23">
      <c r="A23" s="9" t="inlineStr">
        <is>
          <t>Aug 2027</t>
        </is>
      </c>
      <c r="B23" s="20" t="n">
        <v>97281</v>
      </c>
      <c r="C23" s="20" t="n"/>
      <c r="D23" s="20">
        <f>B23+C23</f>
        <v/>
      </c>
      <c r="E23" s="20">
        <f>E22+D23</f>
        <v/>
      </c>
      <c r="F23" s="21" t="inlineStr">
        <is>
          <t>OK</t>
        </is>
      </c>
      <c r="G23" s="22" t="inlineStr">
        <is>
          <t>MODELLED</t>
        </is>
      </c>
    </row>
    <row r="24">
      <c r="A24" s="9" t="inlineStr">
        <is>
          <t>Sep 2027</t>
        </is>
      </c>
      <c r="B24" s="20" t="n">
        <v>97281</v>
      </c>
      <c r="C24" s="20" t="n"/>
      <c r="D24" s="20">
        <f>B24+C24</f>
        <v/>
      </c>
      <c r="E24" s="20">
        <f>E23+D24</f>
        <v/>
      </c>
      <c r="F24" s="21" t="inlineStr">
        <is>
          <t>OK</t>
        </is>
      </c>
      <c r="G24" s="22" t="inlineStr">
        <is>
          <t>MODELLED</t>
        </is>
      </c>
    </row>
    <row r="25">
      <c r="A25" s="9" t="inlineStr">
        <is>
          <t>Oct 2027</t>
        </is>
      </c>
      <c r="B25" s="20" t="n">
        <v>97281</v>
      </c>
      <c r="C25" s="20" t="n"/>
      <c r="D25" s="20">
        <f>B25+C25</f>
        <v/>
      </c>
      <c r="E25" s="20">
        <f>E24+D25</f>
        <v/>
      </c>
      <c r="F25" s="21" t="inlineStr">
        <is>
          <t>OK</t>
        </is>
      </c>
      <c r="G25" s="22" t="inlineStr">
        <is>
          <t>MODELLED</t>
        </is>
      </c>
    </row>
    <row r="26">
      <c r="A26" s="9" t="inlineStr">
        <is>
          <t>Nov 2027</t>
        </is>
      </c>
      <c r="B26" s="20" t="n">
        <v>97281</v>
      </c>
      <c r="C26" s="20" t="n"/>
      <c r="D26" s="20">
        <f>B26+C26</f>
        <v/>
      </c>
      <c r="E26" s="20">
        <f>E25+D26</f>
        <v/>
      </c>
      <c r="F26" s="21" t="inlineStr">
        <is>
          <t>OK</t>
        </is>
      </c>
      <c r="G26" s="22" t="inlineStr">
        <is>
          <t>MODELLED</t>
        </is>
      </c>
    </row>
    <row r="27">
      <c r="A27" s="9" t="inlineStr">
        <is>
          <t>Dec 2027</t>
        </is>
      </c>
      <c r="B27" s="20" t="n">
        <v>97281</v>
      </c>
      <c r="C27" s="20" t="n"/>
      <c r="D27" s="20">
        <f>B27+C27</f>
        <v/>
      </c>
      <c r="E27" s="20">
        <f>E26+D27</f>
        <v/>
      </c>
      <c r="F27" s="21" t="inlineStr">
        <is>
          <t>OK</t>
        </is>
      </c>
      <c r="G27" s="22" t="inlineStr">
        <is>
          <t>MODELLED</t>
        </is>
      </c>
    </row>
    <row r="28">
      <c r="A28" s="9" t="inlineStr">
        <is>
          <t>Jan 2028</t>
        </is>
      </c>
      <c r="B28" s="20" t="n">
        <v>97281</v>
      </c>
      <c r="C28" s="20" t="n"/>
      <c r="D28" s="20">
        <f>B28+C28</f>
        <v/>
      </c>
      <c r="E28" s="20">
        <f>E27+D28</f>
        <v/>
      </c>
      <c r="F28" s="21" t="inlineStr">
        <is>
          <t>OK</t>
        </is>
      </c>
      <c r="G28" s="22" t="inlineStr">
        <is>
          <t>MODELLED</t>
        </is>
      </c>
    </row>
    <row r="29">
      <c r="A29" s="9" t="inlineStr">
        <is>
          <t>Feb 2028</t>
        </is>
      </c>
      <c r="B29" s="20" t="n">
        <v>97281</v>
      </c>
      <c r="C29" s="20" t="n"/>
      <c r="D29" s="20">
        <f>B29+C29</f>
        <v/>
      </c>
      <c r="E29" s="20">
        <f>E28+D29</f>
        <v/>
      </c>
      <c r="F29" s="21" t="inlineStr">
        <is>
          <t>OK</t>
        </is>
      </c>
      <c r="G29" s="22" t="inlineStr">
        <is>
          <t>MODELLED</t>
        </is>
      </c>
    </row>
    <row r="30">
      <c r="A30" s="9" t="inlineStr">
        <is>
          <t>Mar 2028</t>
        </is>
      </c>
      <c r="B30" s="20" t="n">
        <v>97281</v>
      </c>
      <c r="C30" s="20" t="n"/>
      <c r="D30" s="20">
        <f>B30+C30</f>
        <v/>
      </c>
      <c r="E30" s="20">
        <f>E29+D30</f>
        <v/>
      </c>
      <c r="F30" s="21" t="inlineStr">
        <is>
          <t>OK</t>
        </is>
      </c>
      <c r="G30" s="22" t="inlineStr">
        <is>
          <t>MODELLED</t>
        </is>
      </c>
    </row>
    <row r="31">
      <c r="A31" s="9" t="inlineStr">
        <is>
          <t>Apr 2028</t>
        </is>
      </c>
      <c r="B31" s="20" t="n">
        <v>97281</v>
      </c>
      <c r="C31" s="20" t="n"/>
      <c r="D31" s="20">
        <f>B31+C31</f>
        <v/>
      </c>
      <c r="E31" s="20">
        <f>E30+D31</f>
        <v/>
      </c>
      <c r="F31" s="21" t="inlineStr">
        <is>
          <t>OK</t>
        </is>
      </c>
      <c r="G31" s="22" t="inlineStr">
        <is>
          <t>MODELLED</t>
        </is>
      </c>
    </row>
    <row r="32">
      <c r="A32" s="9" t="inlineStr">
        <is>
          <t>May 2028</t>
        </is>
      </c>
      <c r="B32" s="20" t="n">
        <v>97281</v>
      </c>
      <c r="C32" s="20" t="n"/>
      <c r="D32" s="20">
        <f>B32+C32</f>
        <v/>
      </c>
      <c r="E32" s="20">
        <f>E31+D32</f>
        <v/>
      </c>
      <c r="F32" s="21" t="inlineStr">
        <is>
          <t>OK</t>
        </is>
      </c>
      <c r="G32" s="22" t="inlineStr">
        <is>
          <t>MODELLED</t>
        </is>
      </c>
    </row>
    <row r="33">
      <c r="A33" s="9" t="inlineStr">
        <is>
          <t>Jun 2028</t>
        </is>
      </c>
      <c r="B33" s="20" t="n">
        <v>97281</v>
      </c>
      <c r="C33" s="20" t="n"/>
      <c r="D33" s="20">
        <f>B33+C33</f>
        <v/>
      </c>
      <c r="E33" s="20">
        <f>E32+D33</f>
        <v/>
      </c>
      <c r="F33" s="21" t="inlineStr">
        <is>
          <t>OK</t>
        </is>
      </c>
      <c r="G33" s="22" t="inlineStr">
        <is>
          <t>MODELLED</t>
        </is>
      </c>
    </row>
    <row r="34">
      <c r="A34" s="9" t="inlineStr">
        <is>
          <t>Jul 2028</t>
        </is>
      </c>
      <c r="B34" s="20" t="n">
        <v>97281</v>
      </c>
      <c r="C34" s="20" t="n"/>
      <c r="D34" s="20">
        <f>B34+C34</f>
        <v/>
      </c>
      <c r="E34" s="20">
        <f>E33+D34</f>
        <v/>
      </c>
      <c r="F34" s="21" t="inlineStr">
        <is>
          <t>OK</t>
        </is>
      </c>
      <c r="G34" s="22" t="inlineStr">
        <is>
          <t>MODELLED</t>
        </is>
      </c>
    </row>
    <row r="35">
      <c r="A35" s="9" t="inlineStr">
        <is>
          <t>Aug 2028</t>
        </is>
      </c>
      <c r="B35" s="20" t="n">
        <v>97281</v>
      </c>
      <c r="C35" s="20" t="n"/>
      <c r="D35" s="20">
        <f>B35+C35</f>
        <v/>
      </c>
      <c r="E35" s="20">
        <f>E34+D35</f>
        <v/>
      </c>
      <c r="F35" s="21" t="inlineStr">
        <is>
          <t>OK</t>
        </is>
      </c>
      <c r="G35" s="22" t="inlineStr">
        <is>
          <t>MODELLED</t>
        </is>
      </c>
    </row>
    <row r="36">
      <c r="A36" s="9" t="inlineStr">
        <is>
          <t>Sep 2028</t>
        </is>
      </c>
      <c r="B36" s="20" t="n">
        <v>97281</v>
      </c>
      <c r="C36" s="20" t="n"/>
      <c r="D36" s="20">
        <f>B36+C36</f>
        <v/>
      </c>
      <c r="E36" s="20">
        <f>E35+D36</f>
        <v/>
      </c>
      <c r="F36" s="21" t="inlineStr">
        <is>
          <t>OK</t>
        </is>
      </c>
      <c r="G36" s="22" t="inlineStr">
        <is>
          <t>MODELLED</t>
        </is>
      </c>
    </row>
    <row r="37">
      <c r="A37" s="9" t="inlineStr">
        <is>
          <t>Oct 2028</t>
        </is>
      </c>
      <c r="B37" s="20" t="n">
        <v>97281</v>
      </c>
      <c r="C37" s="20" t="n"/>
      <c r="D37" s="20">
        <f>B37+C37</f>
        <v/>
      </c>
      <c r="E37" s="20">
        <f>E36+D37</f>
        <v/>
      </c>
      <c r="F37" s="21" t="inlineStr">
        <is>
          <t>OK</t>
        </is>
      </c>
      <c r="G37" s="22" t="inlineStr">
        <is>
          <t>MODELLED</t>
        </is>
      </c>
    </row>
    <row r="38">
      <c r="A38" s="9" t="inlineStr">
        <is>
          <t>Nov 2028</t>
        </is>
      </c>
      <c r="B38" s="20" t="n">
        <v>97281</v>
      </c>
      <c r="C38" s="20" t="n"/>
      <c r="D38" s="20">
        <f>B38+C38</f>
        <v/>
      </c>
      <c r="E38" s="20">
        <f>E37+D38</f>
        <v/>
      </c>
      <c r="F38" s="21" t="inlineStr">
        <is>
          <t>OK</t>
        </is>
      </c>
      <c r="G38" s="22" t="inlineStr">
        <is>
          <t>MODELLED</t>
        </is>
      </c>
    </row>
    <row r="39">
      <c r="A39" s="9" t="inlineStr">
        <is>
          <t>Dec 2028</t>
        </is>
      </c>
      <c r="B39" s="20" t="n">
        <v>97281</v>
      </c>
      <c r="C39" s="20" t="n"/>
      <c r="D39" s="20">
        <f>B39+C39</f>
        <v/>
      </c>
      <c r="E39" s="20">
        <f>E38+D39</f>
        <v/>
      </c>
      <c r="F39" s="21" t="inlineStr">
        <is>
          <t>OK</t>
        </is>
      </c>
      <c r="G39" s="22" t="inlineStr">
        <is>
          <t>MODELLED</t>
        </is>
      </c>
    </row>
    <row r="40">
      <c r="A40" s="9" t="inlineStr">
        <is>
          <t>Jan 2029</t>
        </is>
      </c>
      <c r="B40" s="20" t="n">
        <v>97281</v>
      </c>
      <c r="C40" s="20" t="n"/>
      <c r="D40" s="20">
        <f>B40+C40</f>
        <v/>
      </c>
      <c r="E40" s="20">
        <f>E39+D40</f>
        <v/>
      </c>
      <c r="F40" s="21" t="inlineStr">
        <is>
          <t>OK</t>
        </is>
      </c>
      <c r="G40" s="22" t="inlineStr">
        <is>
          <t>MODELLED</t>
        </is>
      </c>
    </row>
    <row r="41">
      <c r="A41" s="9" t="inlineStr">
        <is>
          <t>Feb 2029</t>
        </is>
      </c>
      <c r="B41" s="20" t="n">
        <v>97281</v>
      </c>
      <c r="C41" s="20" t="n"/>
      <c r="D41" s="20">
        <f>B41+C41</f>
        <v/>
      </c>
      <c r="E41" s="20">
        <f>E40+D41</f>
        <v/>
      </c>
      <c r="F41" s="21" t="inlineStr">
        <is>
          <t>OK</t>
        </is>
      </c>
      <c r="G41" s="22" t="inlineStr">
        <is>
          <t>MODELLED</t>
        </is>
      </c>
    </row>
    <row r="42">
      <c r="A42" s="9" t="inlineStr">
        <is>
          <t>Mar 2029</t>
        </is>
      </c>
      <c r="B42" s="20" t="n">
        <v>97281</v>
      </c>
      <c r="C42" s="20" t="n"/>
      <c r="D42" s="20">
        <f>B42+C42</f>
        <v/>
      </c>
      <c r="E42" s="20">
        <f>E41+D42</f>
        <v/>
      </c>
      <c r="F42" s="21" t="inlineStr">
        <is>
          <t>OK</t>
        </is>
      </c>
      <c r="G42" s="22" t="inlineStr">
        <is>
          <t>MODELLED</t>
        </is>
      </c>
    </row>
    <row r="43">
      <c r="A43" s="9" t="inlineStr">
        <is>
          <t>Apr 2029</t>
        </is>
      </c>
      <c r="B43" s="20" t="n">
        <v>97281</v>
      </c>
      <c r="C43" s="20" t="n"/>
      <c r="D43" s="20">
        <f>B43+C43</f>
        <v/>
      </c>
      <c r="E43" s="20">
        <f>E42+D43</f>
        <v/>
      </c>
      <c r="F43" s="21" t="inlineStr">
        <is>
          <t>OK</t>
        </is>
      </c>
      <c r="G43" s="22" t="inlineStr">
        <is>
          <t>MODELLED</t>
        </is>
      </c>
    </row>
    <row r="45">
      <c r="A45" s="36" t="inlineStr">
        <is>
          <t>Capital injection mapping (Day 8 — probability-weighted, NOT committed cash):</t>
        </is>
      </c>
    </row>
    <row r="46">
      <c r="A46" s="6" t="inlineStr">
        <is>
          <t>Month</t>
        </is>
      </c>
      <c r="B46" s="6" t="inlineStr">
        <is>
          <t>Instrument</t>
        </is>
      </c>
      <c r="C46" s="6" t="inlineStr">
        <is>
          <t>Amount</t>
        </is>
      </c>
      <c r="D46" s="6" t="inlineStr">
        <is>
          <t>Probability</t>
        </is>
      </c>
      <c r="E46" s="6" t="inlineStr">
        <is>
          <t>Status</t>
        </is>
      </c>
    </row>
    <row r="47" ht="24" customHeight="1">
      <c r="A47" s="9" t="inlineStr">
        <is>
          <t>Sep 2026</t>
        </is>
      </c>
      <c r="B47" s="12" t="inlineStr">
        <is>
          <t>QBE Catalysing Impact match</t>
        </is>
      </c>
      <c r="C47" s="20" t="n">
        <v>400000</v>
      </c>
      <c r="D47" s="12" t="inlineStr">
        <is>
          <t>90% IF match raised first</t>
        </is>
      </c>
      <c r="E47" s="22" t="inlineStr">
        <is>
          <t>MODELLED / match-contingent</t>
        </is>
      </c>
    </row>
    <row r="48" ht="24" customHeight="1">
      <c r="A48" s="9" t="inlineStr">
        <is>
          <t>Nov 2026</t>
        </is>
      </c>
      <c r="B48" s="12" t="inlineStr">
        <is>
          <t>SEFA working-capital loan (BOLD)</t>
        </is>
      </c>
      <c r="C48" s="20" t="n">
        <v>300000</v>
      </c>
      <c r="D48" s="12" t="inlineStr">
        <is>
          <t>70% — LOI/term sheet in flight</t>
        </is>
      </c>
      <c r="E48" s="22" t="inlineStr">
        <is>
          <t>MODELLED</t>
        </is>
      </c>
    </row>
    <row r="49" ht="24" customHeight="1">
      <c r="A49" s="9" t="inlineStr">
        <is>
          <t>Jan 2027</t>
        </is>
      </c>
      <c r="B49" s="12" t="inlineStr">
        <is>
          <t>Anchor philanthropic raise</t>
        </is>
      </c>
      <c r="C49" s="20" t="n">
        <v>500000</v>
      </c>
      <c r="D49" s="12" t="inlineStr">
        <is>
          <t>50% — conversations in flight</t>
        </is>
      </c>
      <c r="E49" s="22" t="inlineStr">
        <is>
          <t>MODELLED</t>
        </is>
      </c>
    </row>
    <row r="51" ht="28" customHeight="1">
      <c r="A51" s="26" t="inlineStr">
        <is>
          <t>QBE is an OUTPUT of the stack, not an input: Goods must raise ~$400K of non-QBE capital by 31 Aug 2026 to trigger the match (Day 8). Full-stack joint probability ≈ 30%.</t>
        </is>
      </c>
    </row>
    <row r="53">
      <c r="A53" s="36" t="inlineStr">
        <is>
          <t>OPENING-CASH SENSITIVITY (Day 6) — illustrates how the dial moves the trough:</t>
        </is>
      </c>
    </row>
    <row r="54">
      <c r="A54" s="6" t="inlineStr">
        <is>
          <t>Opening cash</t>
        </is>
      </c>
      <c r="B54" s="6" t="inlineStr">
        <is>
          <t>Trough cash</t>
        </is>
      </c>
      <c r="C54" s="6" t="inlineStr">
        <is>
          <t>Trough month</t>
        </is>
      </c>
      <c r="D54" s="6" t="inlineStr">
        <is>
          <t>Implication</t>
        </is>
      </c>
    </row>
    <row r="55">
      <c r="A55" s="20" t="n">
        <v>50000</v>
      </c>
      <c r="B55" s="37" t="n">
        <v>-94000</v>
      </c>
      <c r="C55" s="9" t="inlineStr">
        <is>
          <t>Aug 2026</t>
        </is>
      </c>
      <c r="D55" s="12" t="inlineStr">
        <is>
          <t>Insolvency without immediate capital</t>
        </is>
      </c>
    </row>
    <row r="56">
      <c r="A56" s="20" t="n">
        <v>100000</v>
      </c>
      <c r="B56" s="37" t="n">
        <v>-44000</v>
      </c>
      <c r="C56" s="9" t="inlineStr">
        <is>
          <t>Aug 2026</t>
        </is>
      </c>
      <c r="D56" s="12" t="inlineStr">
        <is>
          <t>Still insolvent; need capital by Sep</t>
        </is>
      </c>
    </row>
    <row r="57">
      <c r="A57" s="20" t="n">
        <v>200000</v>
      </c>
      <c r="B57" s="20" t="n">
        <v>56000</v>
      </c>
      <c r="C57" s="9" t="inlineStr">
        <is>
          <t>Aug 2026</t>
        </is>
      </c>
      <c r="D57" s="12" t="inlineStr">
        <is>
          <t>Survives but at risk; capital by Oct</t>
        </is>
      </c>
    </row>
    <row r="58">
      <c r="A58" s="20" t="n">
        <v>400000</v>
      </c>
      <c r="B58" s="20" t="n">
        <v>256000</v>
      </c>
      <c r="C58" s="9" t="inlineStr">
        <is>
          <t>Sep 2026</t>
        </is>
      </c>
      <c r="D58" s="12" t="inlineStr">
        <is>
          <t>Comfortable bridge to capital injections</t>
        </is>
      </c>
    </row>
  </sheetData>
  <mergeCells count="3">
    <mergeCell ref="A5:J5"/>
    <mergeCell ref="A4:J4"/>
    <mergeCell ref="A51:G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Stretch Bed cost ladder + unit economics (v6, 2026-05-29)</t>
        </is>
      </c>
    </row>
    <row r="2">
      <c r="A2" s="2" t="inlineStr">
        <is>
          <t>Marginal vs fixed reframing. Founder-time block driven by the day-rate dial. Price held flat $750 (VERIFIED).</t>
        </is>
      </c>
    </row>
    <row r="4">
      <c r="A4" s="3" t="inlineStr">
        <is>
          <t>MARGINAL COST PER BED (the bit a buyer pays for)</t>
        </is>
      </c>
    </row>
    <row r="5">
      <c r="A5" s="6" t="inlineStr">
        <is>
          <t>Path</t>
        </is>
      </c>
      <c r="B5" s="6" t="inlineStr">
        <is>
          <t>Direct materials</t>
        </is>
      </c>
      <c r="C5" s="6" t="inlineStr">
        <is>
          <t>Assembly</t>
        </is>
      </c>
      <c r="D5" s="6" t="inlineStr">
        <is>
          <t>Local freight</t>
        </is>
      </c>
      <c r="E5" s="6" t="inlineStr">
        <is>
          <t>Long-haul freight</t>
        </is>
      </c>
      <c r="F5" s="6" t="inlineStr">
        <is>
          <t>Marginal total</t>
        </is>
      </c>
      <c r="G5" s="6" t="inlineStr">
        <is>
          <t>Status</t>
        </is>
      </c>
    </row>
    <row r="6">
      <c r="A6" s="27" t="inlineStr">
        <is>
          <t>Defy-kit (today, no capex)</t>
        </is>
      </c>
      <c r="B6" s="23" t="n">
        <v>469.79</v>
      </c>
      <c r="C6" s="23" t="n">
        <v>40</v>
      </c>
      <c r="D6" s="23" t="n">
        <v>25</v>
      </c>
      <c r="E6" s="23" t="n">
        <v>150</v>
      </c>
      <c r="F6" s="23" t="n">
        <v>684.79</v>
      </c>
      <c r="G6" s="22" t="inlineStr">
        <is>
          <t>MODELLED (verified inputs)</t>
        </is>
      </c>
    </row>
    <row r="7">
      <c r="A7" s="27" t="inlineStr">
        <is>
          <t>Factory (future, in-house legs)</t>
        </is>
      </c>
      <c r="B7" s="23" t="n">
        <v>275.74</v>
      </c>
      <c r="C7" s="23" t="inlineStr">
        <is>
          <t>—</t>
        </is>
      </c>
      <c r="D7" s="23" t="inlineStr">
        <is>
          <t>—</t>
        </is>
      </c>
      <c r="E7" s="23" t="n">
        <v>150</v>
      </c>
      <c r="F7" s="23" t="n">
        <v>425.74</v>
      </c>
      <c r="G7" s="32" t="inlineStr">
        <is>
          <t>TARGET / future</t>
        </is>
      </c>
    </row>
    <row r="9" ht="28" customHeight="1">
      <c r="A9" s="26" t="inlineStr">
        <is>
          <t>Factory direct $275.74 = in-house legs $150 (plastic $55 + diesel $15 + labour $80) + steel $27 + canvas $93.50 + caps/screws/bolts. Defy margin captured by in-sourcing ≈ $289/bed.</t>
        </is>
      </c>
    </row>
    <row r="11">
      <c r="A11" s="3" t="inlineStr">
        <is>
          <t>IDIOT INDEX (current paid ÷ raw-material floor)</t>
        </is>
      </c>
    </row>
    <row r="12">
      <c r="A12" s="6" t="inlineStr">
        <is>
          <t>Element</t>
        </is>
      </c>
      <c r="B12" s="6" t="inlineStr">
        <is>
          <t>Raw floor</t>
        </is>
      </c>
      <c r="C12" s="6" t="inlineStr">
        <is>
          <t>Current paid</t>
        </is>
      </c>
      <c r="D12" s="6" t="inlineStr">
        <is>
          <t>Idiot index</t>
        </is>
      </c>
      <c r="E12" s="6" t="inlineStr">
        <is>
          <t>Biggest lever?</t>
        </is>
      </c>
      <c r="F12" s="6" t="inlineStr">
        <is>
          <t>Status</t>
        </is>
      </c>
    </row>
    <row r="13">
      <c r="A13" s="12" t="inlineStr">
        <is>
          <t>HDPE kit (Defy cut+finished)</t>
        </is>
      </c>
      <c r="B13" s="23" t="n">
        <v>40</v>
      </c>
      <c r="C13" s="23" t="n">
        <v>344.05</v>
      </c>
      <c r="D13" s="38" t="n">
        <v>8.6</v>
      </c>
      <c r="E13" s="35" t="inlineStr">
        <is>
          <t>YES</t>
        </is>
      </c>
      <c r="F13" s="21" t="inlineStr">
        <is>
          <t>VERIFIED</t>
        </is>
      </c>
    </row>
    <row r="14">
      <c r="A14" s="12" t="inlineStr">
        <is>
          <t>HDPE pre-pressed panel (alt)</t>
        </is>
      </c>
      <c r="B14" s="23" t="n">
        <v>40</v>
      </c>
      <c r="C14" s="23" t="n">
        <v>400</v>
      </c>
      <c r="D14" s="39" t="n">
        <v>10</v>
      </c>
      <c r="E14" s="9" t="inlineStr">
        <is>
          <t>avoid</t>
        </is>
      </c>
      <c r="F14" s="21" t="inlineStr">
        <is>
          <t>VERIFIED</t>
        </is>
      </c>
    </row>
    <row r="15">
      <c r="A15" s="12" t="inlineStr">
        <is>
          <t>Canvas (Centre Canvas)</t>
        </is>
      </c>
      <c r="B15" s="23" t="n">
        <v>38.5</v>
      </c>
      <c r="C15" s="23" t="n">
        <v>93.5</v>
      </c>
      <c r="D15" s="39" t="n">
        <v>2.4</v>
      </c>
      <c r="E15" s="9" t="inlineStr">
        <is>
          <t>no</t>
        </is>
      </c>
      <c r="F15" s="21" t="inlineStr">
        <is>
          <t>VERIFIED</t>
        </is>
      </c>
    </row>
    <row r="16">
      <c r="A16" s="12" t="inlineStr">
        <is>
          <t>Steel poles (DNA Steel)</t>
        </is>
      </c>
      <c r="B16" s="23" t="n">
        <v>12.67</v>
      </c>
      <c r="C16" s="23" t="n">
        <v>27</v>
      </c>
      <c r="D16" s="39" t="n">
        <v>2.1</v>
      </c>
      <c r="E16" s="9" t="inlineStr">
        <is>
          <t>no</t>
        </is>
      </c>
      <c r="F16" s="21" t="inlineStr">
        <is>
          <t>VERIFIED</t>
        </is>
      </c>
    </row>
    <row r="17">
      <c r="A17" s="12" t="inlineStr">
        <is>
          <t>End caps</t>
        </is>
      </c>
      <c r="B17" s="23" t="n">
        <v>2.6</v>
      </c>
      <c r="C17" s="23" t="n">
        <v>3.2</v>
      </c>
      <c r="D17" s="39" t="n">
        <v>1.2</v>
      </c>
      <c r="E17" s="9" t="inlineStr">
        <is>
          <t>no</t>
        </is>
      </c>
      <c r="F17" s="21" t="inlineStr">
        <is>
          <t>VERIFIED</t>
        </is>
      </c>
    </row>
    <row r="18">
      <c r="A18" s="12" t="inlineStr">
        <is>
          <t>Screws</t>
        </is>
      </c>
      <c r="B18" s="23" t="n">
        <v>1.04</v>
      </c>
      <c r="C18" s="23" t="n">
        <v>1.04</v>
      </c>
      <c r="D18" s="39" t="n">
        <v>1</v>
      </c>
      <c r="E18" s="9" t="inlineStr">
        <is>
          <t>no</t>
        </is>
      </c>
      <c r="F18" s="21" t="inlineStr">
        <is>
          <t>VERIFIED</t>
        </is>
      </c>
    </row>
    <row r="19">
      <c r="A19" s="12" t="inlineStr">
        <is>
          <t>Bolts</t>
        </is>
      </c>
      <c r="B19" s="23" t="n">
        <v>0.6</v>
      </c>
      <c r="C19" s="23" t="n">
        <v>1</v>
      </c>
      <c r="D19" s="39" t="n">
        <v>1.7</v>
      </c>
      <c r="E19" s="9" t="inlineStr">
        <is>
          <t>no</t>
        </is>
      </c>
      <c r="F19" s="32" t="inlineStr">
        <is>
          <t>INFERRED</t>
        </is>
      </c>
    </row>
    <row r="20">
      <c r="A20" s="12" t="inlineStr">
        <is>
          <t>Defy assembly labour</t>
        </is>
      </c>
      <c r="B20" s="23" t="n">
        <v>60</v>
      </c>
      <c r="C20" s="23" t="n">
        <v>55.95</v>
      </c>
      <c r="D20" s="39" t="n">
        <v>0.9</v>
      </c>
      <c r="E20" s="9" t="inlineStr">
        <is>
          <t>no</t>
        </is>
      </c>
      <c r="F20" s="21" t="inlineStr">
        <is>
          <t>VERIFIED</t>
        </is>
      </c>
    </row>
    <row r="22" ht="26" customHeight="1">
      <c r="A22" s="26" t="inlineStr">
        <is>
          <t>HDPE kit at 8.6x is THE lever: in-sourcing shred+press+CNC moves ~$194/bed and captures ~$289 Defy margin. Annual prize at 500 beds/yr ≈ $144,525.</t>
        </is>
      </c>
    </row>
    <row r="24">
      <c r="A24" s="3" t="inlineStr">
        <is>
          <t>ANNUAL FIXED BLOCK (founder production line = day-rate dial × production-days dial)</t>
        </is>
      </c>
    </row>
    <row r="25">
      <c r="A25" s="6" t="inlineStr">
        <is>
          <t>Line</t>
        </is>
      </c>
      <c r="B25" s="6" t="inlineStr">
        <is>
          <t>Amount/yr</t>
        </is>
      </c>
      <c r="C25" s="6" t="inlineStr">
        <is>
          <t>Status</t>
        </is>
      </c>
      <c r="D25" s="6" t="inlineStr">
        <is>
          <t>Note</t>
        </is>
      </c>
    </row>
    <row r="26">
      <c r="A26" s="10" t="inlineStr">
        <is>
          <t>Kirmos facility (50% of $4,500/mo)</t>
        </is>
      </c>
      <c r="B26" s="20" t="n">
        <v>27000</v>
      </c>
      <c r="C26" s="22" t="inlineStr">
        <is>
          <t>MODELLED</t>
        </is>
      </c>
      <c r="D26" s="12" t="inlineStr">
        <is>
          <t>50% split estimate; confirm beds-vs-other with Nic.</t>
        </is>
      </c>
    </row>
    <row r="27" ht="30" customHeight="1">
      <c r="A27" s="10" t="inlineStr">
        <is>
          <t>Founder production time</t>
        </is>
      </c>
      <c r="B27" s="31">
        <f>'README &amp; Assumptions'!$B$14*'README &amp; Assumptions'!$B$15</f>
        <v/>
      </c>
      <c r="C27" s="22" t="inlineStr">
        <is>
          <t>MODELLED</t>
        </is>
      </c>
      <c r="D27" s="12" t="inlineStr">
        <is>
          <t>DIAL-DRIVEN: day-rate × production-days. v6 used $1,000×30=$30,000; Day 3 rate $560→$16,800. Reconcile.</t>
        </is>
      </c>
    </row>
    <row r="28">
      <c r="A28" s="10" t="inlineStr">
        <is>
          <t>Admin</t>
        </is>
      </c>
      <c r="B28" s="20" t="n">
        <v>14700</v>
      </c>
      <c r="C28" s="22" t="inlineStr">
        <is>
          <t>MODELLED</t>
        </is>
      </c>
      <c r="D28" s="12" t="inlineStr">
        <is>
          <t>Not itemised; tie to actual admin spend.</t>
        </is>
      </c>
    </row>
    <row r="29">
      <c r="A29" s="10" t="inlineStr">
        <is>
          <t>Field travel</t>
        </is>
      </c>
      <c r="B29" s="20" t="n">
        <v>51000</v>
      </c>
      <c r="C29" s="22" t="inlineStr">
        <is>
          <t>MODELLED</t>
        </is>
      </c>
      <c r="D29" s="12" t="inlineStr">
        <is>
          <t>Lumpy relationship cost; treat as fixed block, not per-bed.</t>
        </is>
      </c>
    </row>
    <row r="30" ht="30" customHeight="1">
      <c r="A30" s="24">
        <f> Total annual fixed block</f>
        <v/>
      </c>
      <c r="B30" s="25">
        <f>B26+B27+B28+B29</f>
        <v/>
      </c>
      <c r="C30" s="22" t="inlineStr">
        <is>
          <t>MODELLED</t>
        </is>
      </c>
      <c r="D30" s="27" t="inlineStr">
        <is>
          <t>v6 published $122,700 at $1,000/day founder basis. This cell moves with the founder dials → band ≈ $110K–$123K.</t>
        </is>
      </c>
    </row>
    <row r="31" ht="28" customHeight="1">
      <c r="A31" s="26" t="inlineStr">
        <is>
          <t>Deliberately EXCLUDED from unit cost: founder fundraising (50 days) + commercialisation (25 days) = cost-of-capital + customer acquisition, NOT unit cost.</t>
        </is>
      </c>
    </row>
    <row r="33">
      <c r="A33" s="3" t="inlineStr">
        <is>
          <t>BREAKEVEN VOLUME (price $750 held flat)</t>
        </is>
      </c>
    </row>
    <row r="34">
      <c r="A34" s="6" t="inlineStr">
        <is>
          <t>Path</t>
        </is>
      </c>
      <c r="B34" s="6" t="inlineStr">
        <is>
          <t>Price</t>
        </is>
      </c>
      <c r="C34" s="6" t="inlineStr">
        <is>
          <t>Marginal</t>
        </is>
      </c>
      <c r="D34" s="6" t="inlineStr">
        <is>
          <t>Contribution</t>
        </is>
      </c>
      <c r="E34" s="6" t="inlineStr">
        <is>
          <t>Fixed block</t>
        </is>
      </c>
      <c r="F34" s="6" t="inlineStr">
        <is>
          <t>Breakeven beds/yr</t>
        </is>
      </c>
      <c r="G34" s="6" t="inlineStr">
        <is>
          <t>Status</t>
        </is>
      </c>
    </row>
    <row r="35">
      <c r="A35" s="7" t="inlineStr">
        <is>
          <t>Factory path</t>
        </is>
      </c>
      <c r="B35" s="20" t="n">
        <v>750</v>
      </c>
      <c r="C35" s="23" t="n">
        <v>425.74</v>
      </c>
      <c r="D35" s="23">
        <f>B35-C35</f>
        <v/>
      </c>
      <c r="E35" s="20">
        <f>B30</f>
        <v/>
      </c>
      <c r="F35" s="40">
        <f>ROUND(E35/D35,0)</f>
        <v/>
      </c>
      <c r="G35" s="22" t="inlineStr">
        <is>
          <t>MODELLED</t>
        </is>
      </c>
    </row>
    <row r="36">
      <c r="A36" s="7" t="inlineStr">
        <is>
          <t>Defy-kit path</t>
        </is>
      </c>
      <c r="B36" s="20" t="n">
        <v>750</v>
      </c>
      <c r="C36" s="23" t="n">
        <v>684.79</v>
      </c>
      <c r="D36" s="23">
        <f>B36-C36</f>
        <v/>
      </c>
      <c r="E36" s="20">
        <f>B30</f>
        <v/>
      </c>
      <c r="F36" s="40">
        <f>ROUND(E36/D36,0)</f>
        <v/>
      </c>
      <c r="G36" s="22" t="inlineStr">
        <is>
          <t>MODELLED</t>
        </is>
      </c>
    </row>
    <row r="37" ht="40" customHeight="1">
      <c r="A37" s="26" t="inlineStr">
        <is>
          <t>Published anchors: factory breakeven ≈ 378 beds/yr (contribution $324); Defy-kit ≈ 1,882 beds/yr (contribution only $65 — bought-in path cannot cover fixed costs; in-sourcing closes the economics). Cells recompute off the fixed-block dial → factory breakeven band ≈ 338–378.</t>
        </is>
      </c>
    </row>
    <row r="39">
      <c r="A39" s="3" t="inlineStr">
        <is>
          <t>COST-DOWN TRAJECTORY</t>
        </is>
      </c>
    </row>
    <row r="40">
      <c r="A40" s="6" t="inlineStr">
        <is>
          <t>Stage</t>
        </is>
      </c>
      <c r="B40" s="6" t="inlineStr">
        <is>
          <t>Trigger</t>
        </is>
      </c>
      <c r="C40" s="6" t="inlineStr">
        <is>
          <t>Plastic legs/bed</t>
        </is>
      </c>
      <c r="D40" s="6" t="inlineStr">
        <is>
          <t>Direct total</t>
        </is>
      </c>
      <c r="E40" s="6" t="inlineStr">
        <is>
          <t>Marginal w/ freight</t>
        </is>
      </c>
      <c r="F40" s="6" t="inlineStr">
        <is>
          <t>Status</t>
        </is>
      </c>
    </row>
    <row r="41" ht="28" customHeight="1">
      <c r="A41" s="27" t="inlineStr">
        <is>
          <t>0 — Defy kits</t>
        </is>
      </c>
      <c r="B41" s="12" t="inlineStr">
        <is>
          <t>today ~100/yr, no plant</t>
        </is>
      </c>
      <c r="C41" s="23" t="n">
        <v>344.05</v>
      </c>
      <c r="D41" s="23" t="n">
        <v>469.79</v>
      </c>
      <c r="E41" s="20" t="n">
        <v>685</v>
      </c>
      <c r="F41" s="21" t="inlineStr">
        <is>
          <t>VERIFIED</t>
        </is>
      </c>
    </row>
    <row r="42" ht="28" customHeight="1">
      <c r="A42" s="27" t="inlineStr">
        <is>
          <t>1 — In-source assembly</t>
        </is>
      </c>
      <c r="B42" s="12" t="inlineStr">
        <is>
          <t>~150–300/yr, $2K bench</t>
        </is>
      </c>
      <c r="C42" s="23" t="n">
        <v>344.05</v>
      </c>
      <c r="D42" s="23" t="n">
        <v>469.79</v>
      </c>
      <c r="E42" s="20" t="n">
        <v>660</v>
      </c>
      <c r="F42" s="32" t="inlineStr">
        <is>
          <t>TARGET</t>
        </is>
      </c>
    </row>
    <row r="43" ht="28" customHeight="1">
      <c r="A43" s="27" t="inlineStr">
        <is>
          <t>2 — In-source press+CNC (factory)</t>
        </is>
      </c>
      <c r="B43" s="12" t="inlineStr">
        <is>
          <t>~300–500/yr, $90–200K capex</t>
        </is>
      </c>
      <c r="C43" s="23" t="n">
        <v>150</v>
      </c>
      <c r="D43" s="23" t="n">
        <v>275.74</v>
      </c>
      <c r="E43" s="20" t="n">
        <v>426</v>
      </c>
      <c r="F43" s="32" t="inlineStr">
        <is>
          <t>TARGET / future</t>
        </is>
      </c>
    </row>
    <row r="44" ht="28" customHeight="1">
      <c r="A44" s="27" t="inlineStr">
        <is>
          <t>3 — Community + free waste plastic</t>
        </is>
      </c>
      <c r="B44" s="12" t="inlineStr">
        <is>
          <t>~1,000/yr, CDP labour + council feedstock</t>
        </is>
      </c>
      <c r="C44" s="23" t="n">
        <v>27</v>
      </c>
      <c r="D44" s="23" t="n">
        <v>140.74</v>
      </c>
      <c r="E44" s="20" t="n">
        <v>291</v>
      </c>
      <c r="F44" s="32" t="inlineStr">
        <is>
          <t>FUTURE</t>
        </is>
      </c>
    </row>
  </sheetData>
  <mergeCells count="4">
    <mergeCell ref="A22:F22"/>
    <mergeCell ref="A31:D31"/>
    <mergeCell ref="A37:G37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Scenarios — Base / Upside / Downside (Day 9)</t>
        </is>
      </c>
    </row>
    <row r="2">
      <c r="A2" s="2" t="inlineStr">
        <is>
          <t>MODELLED. The cash trough appears in ALL THREE scenarios — depth/timing differ. Opening cash is the most-critical input regardless of scenario.</t>
        </is>
      </c>
    </row>
    <row r="4">
      <c r="A4" s="6" t="inlineStr">
        <is>
          <t>Metric</t>
        </is>
      </c>
      <c r="B4" s="6" t="inlineStr">
        <is>
          <t>Downside</t>
        </is>
      </c>
      <c r="C4" s="6" t="inlineStr">
        <is>
          <t>Base</t>
        </is>
      </c>
      <c r="D4" s="6" t="inlineStr">
        <is>
          <t>Upside</t>
        </is>
      </c>
      <c r="E4" s="6" t="inlineStr">
        <is>
          <t>Status</t>
        </is>
      </c>
    </row>
    <row r="5">
      <c r="A5" s="27" t="inlineStr">
        <is>
          <t>Opening cash (assumption)</t>
        </is>
      </c>
      <c r="B5" s="20" t="n">
        <v>30000</v>
      </c>
      <c r="C5" s="20" t="n">
        <v>50000</v>
      </c>
      <c r="D5" s="20" t="n">
        <v>100000</v>
      </c>
      <c r="E5" s="22" t="inlineStr">
        <is>
          <t>MODELLED</t>
        </is>
      </c>
    </row>
    <row r="6">
      <c r="A6" s="27" t="inlineStr">
        <is>
          <t>Cash first negative</t>
        </is>
      </c>
      <c r="B6" s="9" t="inlineStr">
        <is>
          <t>May 2026</t>
        </is>
      </c>
      <c r="C6" s="9" t="inlineStr">
        <is>
          <t>Jun 2026</t>
        </is>
      </c>
      <c r="D6" s="9" t="inlineStr">
        <is>
          <t>Aug 2026</t>
        </is>
      </c>
      <c r="E6" s="22" t="inlineStr">
        <is>
          <t>MODELLED</t>
        </is>
      </c>
    </row>
    <row r="7">
      <c r="A7" s="27" t="inlineStr">
        <is>
          <t>Trough (worst cash)</t>
        </is>
      </c>
      <c r="B7" s="20" t="n">
        <v>-171000</v>
      </c>
      <c r="C7" s="20" t="n">
        <v>-94000</v>
      </c>
      <c r="D7" s="20" t="n">
        <v>-15000</v>
      </c>
      <c r="E7" s="22" t="inlineStr">
        <is>
          <t>MODELLED</t>
        </is>
      </c>
    </row>
    <row r="8">
      <c r="A8" s="27" t="inlineStr">
        <is>
          <t>Trough month</t>
        </is>
      </c>
      <c r="B8" s="9" t="inlineStr">
        <is>
          <t>Nov 2026</t>
        </is>
      </c>
      <c r="C8" s="9" t="inlineStr">
        <is>
          <t>Aug 2026</t>
        </is>
      </c>
      <c r="D8" s="9" t="inlineStr">
        <is>
          <t>Aug 2026</t>
        </is>
      </c>
      <c r="E8" s="22" t="inlineStr">
        <is>
          <t>MODELLED</t>
        </is>
      </c>
    </row>
    <row r="9">
      <c r="A9" s="27" t="inlineStr">
        <is>
          <t>Capital injections total</t>
        </is>
      </c>
      <c r="B9" s="20" t="n">
        <v>650000</v>
      </c>
      <c r="C9" s="20" t="n">
        <v>1200000</v>
      </c>
      <c r="D9" s="20" t="n">
        <v>3540000</v>
      </c>
      <c r="E9" s="22" t="inlineStr">
        <is>
          <t>MODELLED</t>
        </is>
      </c>
    </row>
    <row r="10">
      <c r="A10" s="27" t="inlineStr">
        <is>
          <t>Year 1 (FY27) revenue</t>
        </is>
      </c>
      <c r="B10" s="20" t="n">
        <v>690000</v>
      </c>
      <c r="C10" s="20" t="n">
        <v>1130000</v>
      </c>
      <c r="D10" s="20" t="n">
        <v>1580000</v>
      </c>
      <c r="E10" s="22" t="inlineStr">
        <is>
          <t>MODELLED</t>
        </is>
      </c>
    </row>
    <row r="11">
      <c r="A11" s="27" t="inlineStr">
        <is>
          <t>Year 1 close cash</t>
        </is>
      </c>
      <c r="B11" s="20" t="n">
        <v>0</v>
      </c>
      <c r="C11" s="20" t="n">
        <v>992000</v>
      </c>
      <c r="D11" s="20" t="n">
        <v>2200000</v>
      </c>
      <c r="E11" s="22" t="inlineStr">
        <is>
          <t>MODELLED</t>
        </is>
      </c>
    </row>
    <row r="12">
      <c r="A12" s="27" t="inlineStr">
        <is>
          <t>Year 3 close cash (36mo)</t>
        </is>
      </c>
      <c r="B12" s="20" t="n">
        <v>867000</v>
      </c>
      <c r="C12" s="20" t="n">
        <v>3327100</v>
      </c>
      <c r="D12" s="20" t="n">
        <v>7960000</v>
      </c>
      <c r="E12" s="22" t="inlineStr">
        <is>
          <t>MODELLED</t>
        </is>
      </c>
    </row>
    <row r="13">
      <c r="A13" s="27" t="inlineStr">
        <is>
          <t>Probability of scenario</t>
        </is>
      </c>
      <c r="B13" s="29" t="n">
        <v>0.3</v>
      </c>
      <c r="C13" s="29" t="n">
        <v>0.3</v>
      </c>
      <c r="D13" s="29" t="n">
        <v>0.125</v>
      </c>
      <c r="E13" s="22" t="inlineStr">
        <is>
          <t>MODELLED</t>
        </is>
      </c>
    </row>
    <row r="15">
      <c r="A15" s="3" t="inlineStr">
        <is>
          <t>DEFINITIONS</t>
        </is>
      </c>
    </row>
    <row r="16" ht="40" customHeight="1">
      <c r="A16" s="41" t="inlineStr">
        <is>
          <t>Base</t>
        </is>
      </c>
      <c r="B16" s="12" t="inlineStr">
        <is>
          <t>Day 5 segment midpoints; QBE $400K Sep-26 + SEFA $300K Nov-26 + anchor $500K Jan-27; COGS 70%→45%; founder Mid ($140K/yr).</t>
        </is>
      </c>
      <c r="C16" s="15" t="n"/>
      <c r="D16" s="15" t="n"/>
      <c r="E16" s="16" t="n"/>
    </row>
    <row r="17" ht="40" customHeight="1">
      <c r="A17" s="41" t="inlineStr">
        <is>
          <t>Upside</t>
        </is>
      </c>
      <c r="B17" s="12" t="inlineStr">
        <is>
          <t>Ramps ~40% above midpoint; +Butterfly DGR $200K Y1 +PFI $640K +Minderoo $1.5M; SEFA/anchor ~3mo earlier; COGS 68%→40%.</t>
        </is>
      </c>
      <c r="C17" s="15" t="n"/>
      <c r="D17" s="15" t="n"/>
      <c r="E17" s="16" t="n"/>
    </row>
    <row r="18" ht="40" customHeight="1">
      <c r="A18" s="41" t="inlineStr">
        <is>
          <t>Downside</t>
        </is>
      </c>
      <c r="B18" s="12" t="inlineStr">
        <is>
          <t>Ramps ~40% below; QBE cut to $200K &amp; slipped to Dec-26; SEFA $150K; anchor $300K Q2-27; founder All-in ($210K/yr); hires deferred.</t>
        </is>
      </c>
      <c r="C18" s="15" t="n"/>
      <c r="D18" s="15" t="n"/>
      <c r="E18" s="16" t="n"/>
    </row>
    <row r="20" ht="40" customHeight="1">
      <c r="A20" s="26" t="inlineStr">
        <is>
          <t>Honest investor story: structurally cash-tight May→Sep 2026; the $1.2M stack exists to bridge the trough; viable past Year 1 in all three; even downside closes Year 3 at $867K (survivable, not catastrophic).</t>
        </is>
      </c>
    </row>
  </sheetData>
  <mergeCells count="4">
    <mergeCell ref="B17:E17"/>
    <mergeCell ref="B18:E18"/>
    <mergeCell ref="A20:E20"/>
    <mergeCell ref="B16:E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22" customWidth="1" min="4" max="4"/>
    <col width="44" customWidth="1" min="5" max="5"/>
  </cols>
  <sheetData>
    <row r="1">
      <c r="A1" s="1" t="inlineStr">
        <is>
          <t>Exact founder/accountant inputs still needed to CLOSE the model</t>
        </is>
      </c>
    </row>
    <row r="2">
      <c r="A2" s="2" t="inlineStr">
        <is>
          <t>These are the gates. Until they are answered, the model stays v0.1 management-accounts WORKPAPER.</t>
        </is>
      </c>
    </row>
    <row r="4">
      <c r="A4" s="6" t="inlineStr">
        <is>
          <t>#</t>
        </is>
      </c>
      <c r="B4" s="6" t="inlineStr">
        <is>
          <t>Input needed</t>
        </is>
      </c>
      <c r="C4" s="6" t="inlineStr">
        <is>
          <t>Default in model</t>
        </is>
      </c>
      <c r="D4" s="6" t="inlineStr">
        <is>
          <t>Owner</t>
        </is>
      </c>
      <c r="E4" s="6" t="inlineStr">
        <is>
          <t>Why it gates</t>
        </is>
      </c>
    </row>
    <row r="5" ht="34" customHeight="1">
      <c r="A5" s="41" t="n">
        <v>1</v>
      </c>
      <c r="B5" s="12" t="inlineStr">
        <is>
          <t>Opening cash @ 1 May 2026 (genuine Goods-earmarked)</t>
        </is>
      </c>
      <c r="C5" s="42" t="inlineStr">
        <is>
          <t>$50,000 PLACEHOLDER</t>
        </is>
      </c>
      <c r="D5" s="9" t="inlineStr">
        <is>
          <t>Ben</t>
        </is>
      </c>
      <c r="E5" s="12" t="inlineStr">
        <is>
          <t>Single biggest unknown — re-bases the entire cashflow trough.</t>
        </is>
      </c>
    </row>
    <row r="6" ht="34" customHeight="1">
      <c r="A6" s="41" t="n">
        <v>2</v>
      </c>
      <c r="B6" s="12" t="inlineStr">
        <is>
          <t>Founder day-rate (and reconcile $560 vs $1,000)</t>
        </is>
      </c>
      <c r="C6" s="42" t="inlineStr">
        <is>
          <t>$560/day (band to $1,000)</t>
        </is>
      </c>
      <c r="D6" s="9" t="inlineStr">
        <is>
          <t>Ben + Nic</t>
        </is>
      </c>
      <c r="E6" s="12" t="inlineStr">
        <is>
          <t>Drives founder-time P&amp;L line + annual fixed block + breakeven.</t>
        </is>
      </c>
    </row>
    <row r="7" ht="34" customHeight="1">
      <c r="A7" s="41" t="n">
        <v>3</v>
      </c>
      <c r="B7" s="12" t="inlineStr">
        <is>
          <t>Ben &amp; Nic Goods FTE % (and production-days split)</t>
        </is>
      </c>
      <c r="C7" s="42" t="inlineStr">
        <is>
          <t>50%/50%; 30 prod days</t>
        </is>
      </c>
      <c r="D7" s="9" t="inlineStr">
        <is>
          <t>Ben + Nic</t>
        </is>
      </c>
      <c r="E7" s="12" t="inlineStr">
        <is>
          <t>Sets which founder-time scenario is real; touches unit cost.</t>
        </is>
      </c>
    </row>
    <row r="8" ht="34" customHeight="1">
      <c r="A8" s="41" t="n">
        <v>4</v>
      </c>
      <c r="B8" s="12" t="inlineStr">
        <is>
          <t>ACT-GD revenue carve-out from ACT-ST</t>
        </is>
      </c>
      <c r="C8" s="42" t="inlineStr">
        <is>
          <t>Not carved out</t>
        </is>
      </c>
      <c r="D8" s="9" t="inlineStr">
        <is>
          <t>Accountant</t>
        </is>
      </c>
      <c r="E8" s="12" t="inlineStr">
        <is>
          <t>All revenue currently sits in ACT-ST incl. commercial — entity cleanliness.</t>
        </is>
      </c>
    </row>
    <row r="9" ht="34" customHeight="1">
      <c r="A9" s="41" t="n">
        <v>5</v>
      </c>
      <c r="B9" s="12" t="inlineStr">
        <is>
          <t>Expense classification + de-duplication (opex vs capex)</t>
        </is>
      </c>
      <c r="C9" s="42" t="inlineStr">
        <is>
          <t>ACCPAY + bank-only lumped</t>
        </is>
      </c>
      <c r="D9" s="9" t="inlineStr">
        <is>
          <t>Accountant</t>
        </is>
      </c>
      <c r="E9" s="12" t="inlineStr">
        <is>
          <t>Day 3 bank-only $86,499 needs opex/capex split; avoid double counts.</t>
        </is>
      </c>
    </row>
    <row r="10" ht="34" customHeight="1">
      <c r="A10" s="41" t="n">
        <v>6</v>
      </c>
      <c r="B10" s="12" t="inlineStr">
        <is>
          <t>Receivables &amp; payables ageing (30/60/90)</t>
        </is>
      </c>
      <c r="C10" s="42" t="inlineStr">
        <is>
          <t>AR $82,500 / AP $126,878 totals only</t>
        </is>
      </c>
      <c r="D10" s="9" t="inlineStr">
        <is>
          <t>Accountant</t>
        </is>
      </c>
      <c r="E10" s="12" t="inlineStr">
        <is>
          <t>Completes balance sheet + working-capital schedule.</t>
        </is>
      </c>
    </row>
    <row r="11" ht="34" customHeight="1">
      <c r="A11" s="41" t="n">
        <v>7</v>
      </c>
      <c r="B11" s="12" t="inlineStr">
        <is>
          <t>Inventory &amp; capex treatment (valuation + depreciation)</t>
        </is>
      </c>
      <c r="C11" s="42" t="inlineStr">
        <is>
          <t>Capex $110K invested; inventory unvalued</t>
        </is>
      </c>
      <c r="D11" s="9" t="inlineStr">
        <is>
          <t>Accountant</t>
        </is>
      </c>
      <c r="E11" s="12" t="inlineStr">
        <is>
          <t>Balance sheet won't balance without it.</t>
        </is>
      </c>
    </row>
    <row r="12" ht="34" customHeight="1">
      <c r="A12" s="41" t="n">
        <v>8</v>
      </c>
      <c r="B12" s="12" t="inlineStr">
        <is>
          <t>GST / BAS net position</t>
        </is>
      </c>
      <c r="C12" s="42" t="inlineStr">
        <is>
          <t>Not modelled</t>
        </is>
      </c>
      <c r="D12" s="9" t="inlineStr">
        <is>
          <t>Accountant</t>
        </is>
      </c>
      <c r="E12" s="12" t="inlineStr">
        <is>
          <t>Funder pages ex-GST vs Xero inc-GST — net GST TBC.</t>
        </is>
      </c>
    </row>
    <row r="13" ht="34" customHeight="1">
      <c r="A13" s="41" t="n">
        <v>9</v>
      </c>
      <c r="B13" s="12" t="inlineStr">
        <is>
          <t>R&amp;D Tax Incentive refund treatment + timing</t>
        </is>
      </c>
      <c r="C13" s="42" t="inlineStr">
        <is>
          <t>~$80K/yr modelled</t>
        </is>
      </c>
      <c r="D13" s="9" t="inlineStr">
        <is>
          <t>Accountant</t>
        </is>
      </c>
      <c r="E13" s="12" t="inlineStr">
        <is>
          <t>Affects cashflow timing + Snow INV-0227 grant-vs-R&amp;D split.</t>
        </is>
      </c>
    </row>
    <row r="14" ht="34" customHeight="1">
      <c r="A14" s="41" t="n">
        <v>10</v>
      </c>
      <c r="B14" s="12" t="inlineStr">
        <is>
          <t>Director-loan / reimbursement (Nic personal account)</t>
        </is>
      </c>
      <c r="C14" s="42" t="inlineStr">
        <is>
          <t>Not booked</t>
        </is>
      </c>
      <c r="D14" s="9" t="inlineStr">
        <is>
          <t>Accountant + Mint Ellison</t>
        </is>
      </c>
      <c r="E14" s="12" t="inlineStr">
        <is>
          <t>Goods opex paid via 'NJ Marchesi T/as ACT Everyday'.</t>
        </is>
      </c>
    </row>
    <row r="15" ht="34" customHeight="1">
      <c r="A15" s="41" t="n">
        <v>11</v>
      </c>
      <c r="B15" s="12" t="inlineStr">
        <is>
          <t>Accountant/bookkeeper sign-off note</t>
        </is>
      </c>
      <c r="C15" s="42" t="inlineStr">
        <is>
          <t>None — management accounts</t>
        </is>
      </c>
      <c r="D15" s="9" t="inlineStr">
        <is>
          <t>Accountant</t>
        </is>
      </c>
      <c r="E15" s="12" t="inlineStr">
        <is>
          <t>Required before SEFA/IBA covenants and external diligence.</t>
        </is>
      </c>
    </row>
    <row r="17" ht="34" customHeight="1">
      <c r="A17" s="26" t="inlineStr">
        <is>
          <t>Top 3 to unblock first: (1) opening cash, (2) founder day-rate reconciliation, (3) Ben/Nic FTE %. These three alone re-base the cashflow trough and the founder-time P&amp;L line.</t>
        </is>
      </c>
    </row>
  </sheetData>
  <mergeCells count="1"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2026-05-29T03:24:02Z</dcterms:created>
  <dcterms:modified xmlns:dcterms="http://purl.org/dc/terms/" xmlns:xsi="http://www.w3.org/2001/XMLSchema-instance" xsi:type="dcterms:W3CDTF">2026-05-29T03:24:02Z</dcterms:modified>
</cp:coreProperties>
</file>