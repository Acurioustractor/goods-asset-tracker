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diot Index" sheetId="2" state="visible" r:id="rId2"/>
    <sheet xmlns:r="http://schemas.openxmlformats.org/officeDocument/2006/relationships" name="Build Paths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Founder Time" sheetId="5" state="visible" r:id="rId5"/>
    <sheet xmlns:r="http://schemas.openxmlformats.org/officeDocument/2006/relationships" name="Cost-Down" sheetId="6" state="visible" r:id="rId6"/>
    <sheet xmlns:r="http://schemas.openxmlformats.org/officeDocument/2006/relationships" name="Critical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10">
    <font>
      <name val="Calibri"/>
      <family val="2"/>
      <color theme="1"/>
      <sz val="11"/>
      <scheme val="minor"/>
    </font>
    <font>
      <b val="1"/>
      <color rgb="001F4E5F"/>
      <sz val="14"/>
    </font>
    <font>
      <b val="1"/>
      <color rgb="001F4E5F"/>
      <sz val="11"/>
    </font>
    <font>
      <i val="1"/>
      <color rgb="00888888"/>
      <sz val="9"/>
    </font>
    <font>
      <b val="1"/>
      <color rgb="00FFFFFF"/>
    </font>
    <font>
      <b val="1"/>
    </font>
    <font>
      <b val="1"/>
      <color rgb="00C00000"/>
    </font>
    <font>
      <b val="1"/>
      <color rgb="007F6000"/>
    </font>
    <font>
      <i val="1"/>
      <color rgb="00C00000"/>
    </font>
    <font>
      <b val="1"/>
      <color rgb="00375623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3" borderId="1" pivotButton="0" quotePrefix="0" xfId="0"/>
    <xf numFmtId="4" fontId="0" fillId="3" borderId="1" pivotButton="0" quotePrefix="0" xfId="0"/>
    <xf numFmtId="164" fontId="5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4" fontId="0" fillId="0" borderId="1" pivotButton="0" quotePrefix="0" xfId="0"/>
    <xf numFmtId="164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3" fontId="7" fillId="4" borderId="1" pivotButton="0" quotePrefix="0" xfId="0"/>
    <xf numFmtId="4" fontId="5" fillId="0" borderId="1" pivotButton="0" quotePrefix="0" xfId="0"/>
    <xf numFmtId="3" fontId="0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0" borderId="0" pivotButton="0" quotePrefix="0" xfId="0"/>
    <xf numFmtId="0" fontId="8" fillId="0" borderId="0" pivotButton="0" quotePrefix="0" xfId="0"/>
    <xf numFmtId="3" fontId="0" fillId="3" borderId="1" pivotButton="0" quotePrefix="0" xfId="0"/>
    <xf numFmtId="0" fontId="9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Goods Stretch Bed — Cost Model v6 (Idiot Index + Honest Unit Economics)</t>
        </is>
      </c>
    </row>
    <row r="4">
      <c r="B4" s="2" t="inlineStr"/>
    </row>
    <row r="5">
      <c r="B5" s="3" t="inlineStr">
        <is>
          <t>THE ONE BIG IDEA</t>
        </is>
      </c>
    </row>
    <row r="6">
      <c r="B6" s="2" t="inlineStr">
        <is>
          <t>1) IDIOT INDEX = what we pay for a part ÷ its raw-material cost. High index = the part is mostly process/margin, so it is the biggest cost-down lever.</t>
        </is>
      </c>
    </row>
    <row r="7">
      <c r="B7" s="2" t="inlineStr">
        <is>
          <t xml:space="preserve">   The HDPE plastic legs are the headline: we pay Defy $344/bed for a cut+finished kit; the raw shredded plastic is ~$40-55/bed. Idiot index ~8.6x.</t>
        </is>
      </c>
    </row>
    <row r="8">
      <c r="B8" s="2" t="inlineStr">
        <is>
          <t xml:space="preserve">   That ~$289/bed gap IS the capital case — in-sourcing shred+press+CNC captures it. Everything else (steel 2.1x, canvas 2.4x, hardware ~1x) is already near-floor.</t>
        </is>
      </c>
    </row>
    <row r="9">
      <c r="B9" s="2" t="inlineStr"/>
    </row>
    <row r="10">
      <c r="B10" s="3" t="inlineStr">
        <is>
          <t>2) MARGINAL vs FIXED (the fix for 'a bed costs $1,912').</t>
        </is>
      </c>
    </row>
    <row r="11">
      <c r="B11" s="2" t="inlineStr">
        <is>
          <t xml:space="preserve">   The old '$1,912/bed at 100/yr' is NOT what a bed costs — it spreads a whole year of fixed costs (founder time, facility, field travel) over only 100 beds.</t>
        </is>
      </c>
    </row>
    <row r="12">
      <c r="B12" s="2" t="inlineStr">
        <is>
          <t xml:space="preserve">   Honest split: MARGINAL cost = what the next bed actually costs (~$685 today, ~$426 once we press in-house). FIXED BLOCK = ~$110-123K/yr the enterprise costs to run, funded by philanthropy now and bed-margin at scale.</t>
        </is>
      </c>
    </row>
    <row r="13">
      <c r="B13" s="2" t="inlineStr">
        <is>
          <t xml:space="preserve">   IMPORTANT (do not overclaim to QBE): $685 marginal + $1,227 fixed-per-bed = $1,912 exactly. The reframe re-PARTITIONS the cost honestly; it does not make the bed cheaper.</t>
        </is>
      </c>
    </row>
    <row r="14">
      <c r="B14" s="2" t="inlineStr"/>
    </row>
    <row r="15">
      <c r="B15" s="3" t="inlineStr">
        <is>
          <t>3) FOUNDER TIME is not one cost.</t>
        </is>
      </c>
    </row>
    <row r="16">
      <c r="B16" s="2" t="inlineStr">
        <is>
          <t xml:space="preserve">   Only PRODUCTION days touch unit cost (and shrink with volume). FUNDRAISING days are cost-of-capital (they raise the philanthropy that funds the plant). COMMERCIALISATION days are customer-acquisition (recovered in order margin). GOVERNANCE is ACT-wide.</t>
        </is>
      </c>
    </row>
    <row r="17">
      <c r="B17" s="2" t="inlineStr">
        <is>
          <t xml:space="preserve">   Loading all founder time onto beds gives a nonsense ~$1,500/bed. Production-share-only is ~$300/bed at 100/yr, falling to ~$30 at 1,000/yr.</t>
        </is>
      </c>
    </row>
    <row r="18">
      <c r="B18" s="2" t="inlineStr"/>
    </row>
    <row r="19">
      <c r="B19" s="3" t="inlineStr">
        <is>
          <t>HOW TO USE</t>
        </is>
      </c>
    </row>
    <row r="20">
      <c r="B20" s="2" t="inlineStr">
        <is>
          <t>• Yellow cells are DIALS — change them and the grey formula cells recompute. Start on 'Unit Economics': set the founder day-rate and beds/yr.</t>
        </is>
      </c>
    </row>
    <row r="21">
      <c r="B21" s="2" t="inlineStr">
        <is>
          <t>• 'Idiot Index' ranks every part by cost-down leverage. 'Build Paths' compares the 4 ways to make a bed. 'Cost-Down' shows the trajectory over time.</t>
        </is>
      </c>
    </row>
    <row r="22">
      <c r="B22" s="2" t="inlineStr">
        <is>
          <t>• 'Critical Review' lists EVERY number with its source + confidence + open issue. Anything marked FOUNDER-CONFIRM needs Ben/Nic before it goes to QBE.</t>
        </is>
      </c>
    </row>
    <row r="23">
      <c r="B23" s="2" t="inlineStr"/>
    </row>
    <row r="24">
      <c r="B24" s="4" t="inlineStr">
        <is>
          <t>Source: reconfigures v2/src/lib/data/cost-model-scenarios.json (v5). Companion doc: 01-bed-cost-model-reconfigured.md. Created 2026-05-29.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2" customWidth="1" min="4" max="4"/>
    <col width="16" customWidth="1" min="5" max="5"/>
    <col width="62" customWidth="1" min="6" max="6"/>
  </cols>
  <sheetData>
    <row r="1">
      <c r="A1" s="1" t="inlineStr">
        <is>
          <t>Idiot Index — cost-down leverage by part (index = current ÷ raw floor; computed live)</t>
        </is>
      </c>
    </row>
    <row r="3">
      <c r="A3" s="5" t="inlineStr">
        <is>
          <t>Element</t>
        </is>
      </c>
      <c r="B3" s="5" t="inlineStr">
        <is>
          <t>Raw-material floor ($/bed)</t>
        </is>
      </c>
      <c r="C3" s="5" t="inlineStr">
        <is>
          <t>Current paid ($/bed)</t>
        </is>
      </c>
      <c r="D3" s="5" t="inlineStr">
        <is>
          <t>Idiot index (live)</t>
        </is>
      </c>
      <c r="E3" s="5" t="inlineStr">
        <is>
          <t>Biggest lever?</t>
        </is>
      </c>
      <c r="F3" s="5" t="inlineStr">
        <is>
          <t>Cost-down path</t>
        </is>
      </c>
    </row>
    <row r="4">
      <c r="A4" s="6" t="inlineStr">
        <is>
          <t>HDPE kit (Defy cut+finished)</t>
        </is>
      </c>
      <c r="B4" s="7" t="n">
        <v>40</v>
      </c>
      <c r="C4" s="7" t="n">
        <v>344.05</v>
      </c>
      <c r="D4" s="8">
        <f>C4/B4</f>
        <v/>
      </c>
      <c r="E4" s="6" t="inlineStr">
        <is>
          <t>YES — capital case</t>
        </is>
      </c>
      <c r="F4" s="9" t="inlineStr">
        <is>
          <t>In-source shred+press+CNC -&gt; factory legs ~$150/bed; moves ~$194/bed and captures ~$289 Defy margin</t>
        </is>
      </c>
    </row>
    <row r="5">
      <c r="A5" s="10" t="inlineStr">
        <is>
          <t>HDPE pre-pressed panel path (alt)</t>
        </is>
      </c>
      <c r="B5" s="11" t="n">
        <v>40</v>
      </c>
      <c r="C5" s="11" t="n">
        <v>400</v>
      </c>
      <c r="D5" s="12">
        <f>C5/B5</f>
        <v/>
      </c>
      <c r="E5" s="10" t="inlineStr">
        <is>
          <t>no</t>
        </is>
      </c>
      <c r="F5" s="13" t="inlineStr">
        <is>
          <t>AVOID: pay press margin but still CNC+assemble. Use only if our press is down.</t>
        </is>
      </c>
    </row>
    <row r="6">
      <c r="A6" s="10" t="inlineStr">
        <is>
          <t>Steel poles (DNA Steel finished)</t>
        </is>
      </c>
      <c r="B6" s="11" t="n">
        <v>12.67</v>
      </c>
      <c r="C6" s="11" t="n">
        <v>27</v>
      </c>
      <c r="D6" s="12">
        <f>C6/B6</f>
        <v/>
      </c>
      <c r="E6" s="10" t="inlineStr">
        <is>
          <t>no</t>
        </is>
      </c>
      <c r="F6" s="13" t="inlineStr">
        <is>
          <t>Already reasonable; local NT-procurement premium worth keeping</t>
        </is>
      </c>
    </row>
    <row r="7">
      <c r="A7" s="10" t="inlineStr">
        <is>
          <t>Canvas (Centre Canvas finished)</t>
        </is>
      </c>
      <c r="B7" s="11" t="n">
        <v>38.5</v>
      </c>
      <c r="C7" s="11" t="n">
        <v>93.5</v>
      </c>
      <c r="D7" s="12">
        <f>C7/B7</f>
        <v/>
      </c>
      <c r="E7" s="10" t="inlineStr">
        <is>
          <t>no</t>
        </is>
      </c>
      <c r="F7" s="13" t="inlineStr">
        <is>
          <t>In-house sewing line only at volume; competitive vs $130 self-sew</t>
        </is>
      </c>
    </row>
    <row r="8">
      <c r="A8" s="10" t="inlineStr">
        <is>
          <t>End caps</t>
        </is>
      </c>
      <c r="B8" s="11" t="n">
        <v>2.6</v>
      </c>
      <c r="C8" s="11" t="n">
        <v>3.2</v>
      </c>
      <c r="D8" s="12">
        <f>C8/B8</f>
        <v/>
      </c>
      <c r="E8" s="10" t="inlineStr">
        <is>
          <t>no</t>
        </is>
      </c>
      <c r="F8" s="13" t="inlineStr">
        <is>
          <t>Near cost; bulk-supplier direct</t>
        </is>
      </c>
    </row>
    <row r="9">
      <c r="A9" s="10" t="inlineStr">
        <is>
          <t>Screws</t>
        </is>
      </c>
      <c r="B9" s="11" t="n">
        <v>1.04</v>
      </c>
      <c r="C9" s="11" t="n">
        <v>1.04</v>
      </c>
      <c r="D9" s="12">
        <f>C9/B9</f>
        <v/>
      </c>
      <c r="E9" s="10" t="inlineStr">
        <is>
          <t>no</t>
        </is>
      </c>
      <c r="F9" s="13" t="inlineStr">
        <is>
          <t>Already raw rate</t>
        </is>
      </c>
    </row>
    <row r="10">
      <c r="A10" s="10" t="inlineStr">
        <is>
          <t>Bolts</t>
        </is>
      </c>
      <c r="B10" s="11" t="n">
        <v>0.6</v>
      </c>
      <c r="C10" s="11" t="n">
        <v>1</v>
      </c>
      <c r="D10" s="12">
        <f>C10/B10</f>
        <v/>
      </c>
      <c r="E10" s="10" t="inlineStr">
        <is>
          <t>no</t>
        </is>
      </c>
      <c r="F10" s="13" t="inlineStr">
        <is>
          <t>Trivial $ impact</t>
        </is>
      </c>
    </row>
    <row r="11">
      <c r="A11" s="10" t="inlineStr">
        <is>
          <t>Defy assembly labour</t>
        </is>
      </c>
      <c r="B11" s="11" t="n">
        <v>60</v>
      </c>
      <c r="C11" s="11" t="n">
        <v>55.95</v>
      </c>
      <c r="D11" s="12">
        <f>C11/B11</f>
        <v/>
      </c>
      <c r="E11" s="10" t="inlineStr">
        <is>
          <t>no</t>
        </is>
      </c>
      <c r="F11" s="13" t="inlineStr">
        <is>
          <t>Competitive; in-sourcing is a jobs/mission move not a cost move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The 4 ways to make a bed (plastic-leg cost is the swing)</t>
        </is>
      </c>
    </row>
    <row r="3">
      <c r="A3" s="5" t="inlineStr">
        <is>
          <t>Path</t>
        </is>
      </c>
      <c r="B3" s="5" t="inlineStr">
        <is>
          <t>Defy does</t>
        </is>
      </c>
      <c r="C3" s="5" t="inlineStr">
        <is>
          <t>We do</t>
        </is>
      </c>
      <c r="D3" s="5" t="inlineStr">
        <is>
          <t>Plastic legs ($/bed)</t>
        </is>
      </c>
      <c r="E3" s="5" t="inlineStr">
        <is>
          <t>Direct total ($/bed)</t>
        </is>
      </c>
      <c r="F3" s="5" t="inlineStr">
        <is>
          <t>Margin @ $750 (live)</t>
        </is>
      </c>
    </row>
    <row r="4">
      <c r="A4" s="10" t="inlineStr">
        <is>
          <t>Defy finished kit</t>
        </is>
      </c>
      <c r="B4" s="10" t="inlineStr">
        <is>
          <t>shred+press+CNC+finish</t>
        </is>
      </c>
      <c r="C4" s="10" t="inlineStr">
        <is>
          <t>assemble</t>
        </is>
      </c>
      <c r="D4" s="11" t="n">
        <v>344.05</v>
      </c>
      <c r="E4" s="11" t="n">
        <v>469.79</v>
      </c>
      <c r="F4" s="11">
        <f>750-E4</f>
        <v/>
      </c>
      <c r="G4" s="13" t="inlineStr">
        <is>
          <t>best bought-in path today, no capex</t>
        </is>
      </c>
    </row>
    <row r="5">
      <c r="A5" s="10" t="inlineStr">
        <is>
          <t>Defy pre-pressed panels</t>
        </is>
      </c>
      <c r="B5" s="10" t="inlineStr">
        <is>
          <t>shred+press</t>
        </is>
      </c>
      <c r="C5" s="10" t="inlineStr">
        <is>
          <t>CNC+assemble</t>
        </is>
      </c>
      <c r="D5" s="11" t="n">
        <v>400</v>
      </c>
      <c r="E5" s="11" t="n">
        <v>584.0700000000001</v>
      </c>
      <c r="F5" s="11">
        <f>750-E5</f>
        <v/>
      </c>
      <c r="G5" s="13" t="inlineStr">
        <is>
          <t>worst value, avoid</t>
        </is>
      </c>
    </row>
    <row r="6">
      <c r="A6" s="10" t="inlineStr">
        <is>
          <t>Raw shred (factory path)</t>
        </is>
      </c>
      <c r="B6" s="10" t="inlineStr">
        <is>
          <t>supply bagged shred</t>
        </is>
      </c>
      <c r="C6" s="10" t="inlineStr">
        <is>
          <t>press+CNC+assemble</t>
        </is>
      </c>
      <c r="D6" s="11" t="n">
        <v>55</v>
      </c>
      <c r="E6" s="11" t="n">
        <v>275.74</v>
      </c>
      <c r="F6" s="11">
        <f>750-E6</f>
        <v/>
      </c>
      <c r="G6" s="13" t="inlineStr">
        <is>
          <t>target state, needs press+CNC capex</t>
        </is>
      </c>
    </row>
    <row r="8">
      <c r="A8" s="14" t="inlineStr">
        <is>
          <t>Defy margin captured by in-sourcing legs: $289.05/bed (kit $344.05 - raw shred $55.00) = $144,525/yr at 500 beds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40" customWidth="1" min="4" max="4"/>
    <col width="4" customWidth="1" min="5" max="5"/>
  </cols>
  <sheetData>
    <row r="1">
      <c r="A1" s="1" t="inlineStr">
        <is>
          <t>Honest Unit Economics — marginal cost vs annual fixed block (LIVE: change yellow dials)</t>
        </is>
      </c>
    </row>
    <row r="3">
      <c r="A3" s="15" t="inlineStr">
        <is>
          <t>DIALS (edit these)</t>
        </is>
      </c>
    </row>
    <row r="4">
      <c r="A4" s="16" t="inlineStr">
        <is>
          <t>Founder day-rate ($/day)</t>
        </is>
      </c>
      <c r="B4" s="17" t="n">
        <v>560</v>
      </c>
    </row>
    <row r="5">
      <c r="A5" s="16" t="inlineStr">
        <is>
          <t>Founder days/yr on Goods</t>
        </is>
      </c>
      <c r="B5" s="17" t="n">
        <v>150</v>
      </c>
    </row>
    <row r="6">
      <c r="A6" s="16" t="inlineStr">
        <is>
          <t>…of which PRODUCTION days</t>
        </is>
      </c>
      <c r="B6" s="17" t="n">
        <v>30</v>
      </c>
    </row>
    <row r="7">
      <c r="A7" s="16" t="inlineStr">
        <is>
          <t>Volume (beds/yr)</t>
        </is>
      </c>
      <c r="B7" s="17" t="n">
        <v>100</v>
      </c>
    </row>
    <row r="8">
      <c r="A8" s="16" t="inlineStr">
        <is>
          <t>Price per bed ($)</t>
        </is>
      </c>
      <c r="B8" s="17" t="n">
        <v>750</v>
      </c>
    </row>
    <row r="10">
      <c r="A10" s="15" t="inlineStr">
        <is>
          <t>MARGINAL COST — what the next bed actually costs</t>
        </is>
      </c>
    </row>
    <row r="11">
      <c r="A11" s="5" t="inlineStr">
        <is>
          <t>Path</t>
        </is>
      </c>
      <c r="B11" s="5" t="inlineStr">
        <is>
          <t>Materials</t>
        </is>
      </c>
      <c r="C11" s="5" t="inlineStr">
        <is>
          <t>Assembly</t>
        </is>
      </c>
      <c r="D11" s="5" t="inlineStr">
        <is>
          <t>Local freight</t>
        </is>
      </c>
      <c r="E11" s="5" t="inlineStr">
        <is>
          <t>Long-haul freight</t>
        </is>
      </c>
      <c r="F11" s="5" t="inlineStr">
        <is>
          <t>Marginal $/bed</t>
        </is>
      </c>
    </row>
    <row r="12">
      <c r="A12" s="10" t="inlineStr">
        <is>
          <t>Defy-kit (today)</t>
        </is>
      </c>
      <c r="B12" s="11" t="n">
        <v>469.79</v>
      </c>
      <c r="C12" s="11" t="n">
        <v>40</v>
      </c>
      <c r="D12" s="11" t="n">
        <v>25</v>
      </c>
      <c r="E12" s="11" t="n">
        <v>150</v>
      </c>
      <c r="F12" s="18">
        <f>SUM(B12:E12)</f>
        <v/>
      </c>
    </row>
    <row r="13">
      <c r="A13" s="10" t="inlineStr">
        <is>
          <t>Factory (in-house, future)</t>
        </is>
      </c>
      <c r="B13" s="11" t="n">
        <v>275.74</v>
      </c>
      <c r="C13" s="10" t="n"/>
      <c r="D13" s="10" t="n"/>
      <c r="E13" s="11" t="n">
        <v>150</v>
      </c>
      <c r="F13" s="18">
        <f>B13+E13</f>
        <v/>
      </c>
    </row>
    <row r="15">
      <c r="A15" s="15" t="inlineStr">
        <is>
          <t>ANNUAL FIXED BLOCK — the enterprise cost to run (NOT a per-bed tax)</t>
        </is>
      </c>
    </row>
    <row r="16">
      <c r="A16" s="10" t="inlineStr">
        <is>
          <t>Kirmos / facility</t>
        </is>
      </c>
      <c r="B16" s="19" t="n">
        <v>27000</v>
      </c>
    </row>
    <row r="17">
      <c r="A17" s="10" t="inlineStr">
        <is>
          <t>Admin</t>
        </is>
      </c>
      <c r="B17" s="19" t="n">
        <v>14700</v>
      </c>
    </row>
    <row r="18">
      <c r="A18" s="10" t="inlineStr">
        <is>
          <t>Field travel (community relationships)</t>
        </is>
      </c>
      <c r="B18" s="19" t="n">
        <v>51000</v>
      </c>
    </row>
    <row r="19">
      <c r="A19" s="20" t="inlineStr">
        <is>
          <t>Founder PRODUCTION time (= rate × prod days)</t>
        </is>
      </c>
      <c r="B19" s="19">
        <f>B4*B6</f>
        <v/>
      </c>
    </row>
    <row r="20">
      <c r="A20" s="14" t="inlineStr">
        <is>
          <t>ANNUAL FIXED BLOCK TOTAL</t>
        </is>
      </c>
      <c r="B20" s="21">
        <f>SUM(B16:B19)</f>
        <v/>
      </c>
    </row>
    <row r="21">
      <c r="A21" s="22" t="inlineStr">
        <is>
          <t>(Deliberately EXCLUDED: founder fundraising $ + commercialisation $ = cost-of-capital + customer-acquisition, not unit cost)</t>
        </is>
      </c>
    </row>
    <row r="23">
      <c r="A23" s="15" t="inlineStr">
        <is>
          <t>BREAKEVEN &amp; THE DISTORTION</t>
        </is>
      </c>
    </row>
    <row r="24">
      <c r="A24" s="5" t="inlineStr"/>
      <c r="B24" s="5" t="inlineStr">
        <is>
          <t>Defy-kit path</t>
        </is>
      </c>
      <c r="C24" s="5" t="inlineStr">
        <is>
          <t>Factory path</t>
        </is>
      </c>
      <c r="D24" s="5" t="inlineStr">
        <is>
          <t>Meaning</t>
        </is>
      </c>
    </row>
    <row r="25">
      <c r="A25" s="10" t="inlineStr">
        <is>
          <t>Marginal $/bed</t>
        </is>
      </c>
      <c r="B25" s="11">
        <f>F12</f>
        <v/>
      </c>
      <c r="C25" s="11">
        <f>F13</f>
        <v/>
      </c>
      <c r="D25" s="13" t="inlineStr">
        <is>
          <t>what the next bed costs</t>
        </is>
      </c>
    </row>
    <row r="26">
      <c r="A26" s="10" t="inlineStr">
        <is>
          <t>Contribution/bed (price − marginal)</t>
        </is>
      </c>
      <c r="B26" s="11">
        <f>B8-F12</f>
        <v/>
      </c>
      <c r="C26" s="11">
        <f>B8-F13</f>
        <v/>
      </c>
      <c r="D26" s="13" t="inlineStr">
        <is>
          <t>what each bed puts toward fixed block</t>
        </is>
      </c>
    </row>
    <row r="27">
      <c r="A27" s="10" t="inlineStr">
        <is>
          <t>Breakeven volume (beds/yr)</t>
        </is>
      </c>
      <c r="B27" s="11">
        <f>B20/(B8-F12)</f>
        <v/>
      </c>
      <c r="C27" s="11">
        <f>B20/(B8-F13)</f>
        <v/>
      </c>
      <c r="D27" s="13" t="inlineStr">
        <is>
          <t>beds/yr to cover fixed block at this price</t>
        </is>
      </c>
    </row>
    <row r="28">
      <c r="A28" s="10" t="inlineStr">
        <is>
          <t>Fixed ÷ current volume (ref only)</t>
        </is>
      </c>
      <c r="B28" s="11">
        <f>B20/B7</f>
        <v/>
      </c>
      <c r="C28" s="11">
        <f>B20/B7</f>
        <v/>
      </c>
      <c r="D28" s="13" t="inlineStr">
        <is>
          <t>the absorption effect — shrinks with scale</t>
        </is>
      </c>
    </row>
    <row r="29">
      <c r="A29" s="10" t="inlineStr">
        <is>
          <t>'Fully-loaded' = marginal + fixed/vol</t>
        </is>
      </c>
      <c r="B29" s="11">
        <f>F12+B20/B7</f>
        <v/>
      </c>
      <c r="C29" s="11">
        <f>F13+B20/B7</f>
        <v/>
      </c>
      <c r="D29" s="13" t="inlineStr">
        <is>
          <t>the OLD $1,912 number, honestly decomposed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46" customWidth="1" min="3" max="3"/>
    <col width="14" customWidth="1" min="4" max="4"/>
    <col width="4" customWidth="1" min="5" max="5"/>
  </cols>
  <sheetData>
    <row r="1">
      <c r="A1" s="1" t="inlineStr">
        <is>
          <t>Founder time split — only production touches unit cost</t>
        </is>
      </c>
    </row>
    <row r="2">
      <c r="A2" s="23" t="inlineStr">
        <is>
          <t>Inputs (FOUNDER-CONFIRM): rate $1000/day, 150 days/yr. Conflict: Day 3 basis was $140K/yr fair-market (~$560/day at 250 days); $1,000/day conflicts - reconcile</t>
        </is>
      </c>
    </row>
    <row r="4">
      <c r="A4" s="5" t="inlineStr">
        <is>
          <t>Activity</t>
        </is>
      </c>
      <c r="B4" s="5" t="inlineStr">
        <is>
          <t>Days/yr</t>
        </is>
      </c>
      <c r="C4" s="5" t="inlineStr">
        <is>
          <t>Annual $</t>
        </is>
      </c>
      <c r="D4" s="5" t="inlineStr">
        <is>
          <t>Treatment</t>
        </is>
      </c>
      <c r="E4" s="5" t="inlineStr">
        <is>
          <t>Touches unit cost?</t>
        </is>
      </c>
    </row>
    <row r="5">
      <c r="A5" s="6" t="inlineStr">
        <is>
          <t>Production / ops</t>
        </is>
      </c>
      <c r="B5" s="6" t="n">
        <v>30</v>
      </c>
      <c r="C5" s="24" t="n">
        <v>30000</v>
      </c>
      <c r="D5" s="9" t="inlineStr">
        <is>
          <t>annual_fixed_block, amortizes to ~0 with volume</t>
        </is>
      </c>
      <c r="E5" s="6" t="inlineStr">
        <is>
          <t>YES</t>
        </is>
      </c>
    </row>
    <row r="6">
      <c r="A6" s="10" t="inlineStr">
        <is>
          <t>Fundraising / philanthropy</t>
        </is>
      </c>
      <c r="B6" s="10" t="n">
        <v>50</v>
      </c>
      <c r="C6" s="19" t="n">
        <v>50000</v>
      </c>
      <c r="D6" s="13" t="inlineStr">
        <is>
          <t>cost_of_capital - raises philanthropic $ that fund capex + fixed block</t>
        </is>
      </c>
      <c r="E6" s="10" t="inlineStr">
        <is>
          <t>no</t>
        </is>
      </c>
    </row>
    <row r="7">
      <c r="A7" s="10" t="inlineStr">
        <is>
          <t>Commercialisation / buyer-dev</t>
        </is>
      </c>
      <c r="B7" s="10" t="n">
        <v>25</v>
      </c>
      <c r="C7" s="19" t="n">
        <v>25000</v>
      </c>
      <c r="D7" s="13" t="inlineStr">
        <is>
          <t>customer_acquisition - recovered in margin across an order</t>
        </is>
      </c>
      <c r="E7" s="10" t="inlineStr">
        <is>
          <t>no</t>
        </is>
      </c>
    </row>
    <row r="8">
      <c r="A8" s="10" t="inlineStr">
        <is>
          <t>Governance / strategy / brand</t>
        </is>
      </c>
      <c r="B8" s="10" t="n">
        <v>45</v>
      </c>
      <c r="C8" s="19" t="n">
        <v>45000</v>
      </c>
      <c r="D8" s="13" t="inlineStr">
        <is>
          <t>act_wide_overhead - not a Goods unit cost</t>
        </is>
      </c>
      <c r="E8" s="10" t="inlineStr">
        <is>
          <t>no</t>
        </is>
      </c>
    </row>
    <row r="10">
      <c r="A10" s="14" t="inlineStr">
        <is>
          <t>WRONG (all time ÷ beds): $1500/bed</t>
        </is>
      </c>
    </row>
    <row r="11">
      <c r="A11" s="25" t="inlineStr">
        <is>
          <t>RIGHT (production share only, by volume): 100/yr → $300/bed, 500/yr → $60/bed, 1000/yr → $30/bed</t>
        </is>
      </c>
    </row>
    <row r="13">
      <c r="A13" s="15" t="inlineStr">
        <is>
          <t>WHO FUNDS WHAT</t>
        </is>
      </c>
    </row>
    <row r="14">
      <c r="A14" s="5" t="inlineStr">
        <is>
          <t>Cost element</t>
        </is>
      </c>
      <c r="B14" s="5" t="inlineStr">
        <is>
          <t>Funded by</t>
        </is>
      </c>
      <c r="C14" s="5" t="inlineStr">
        <is>
          <t>Why</t>
        </is>
      </c>
    </row>
    <row r="15">
      <c r="A15" s="10" t="inlineStr">
        <is>
          <t>Plant / capex ($90-200K)</t>
        </is>
      </c>
      <c r="B15" s="10" t="inlineStr">
        <is>
          <t>philanthropy (QBE match + 2nd funder)</t>
        </is>
      </c>
      <c r="C15" s="13" t="inlineStr">
        <is>
          <t>one-off capability build; the 50 fundraising-days raise exactly this</t>
        </is>
      </c>
    </row>
    <row r="16">
      <c r="A16" s="10" t="inlineStr">
        <is>
          <t>Training (Defy $6K/session)</t>
        </is>
      </c>
      <c r="B16" s="10" t="inlineStr">
        <is>
          <t>philanthropy / employment grants</t>
        </is>
      </c>
      <c r="C16" s="13" t="inlineStr">
        <is>
          <t>workforce development</t>
        </is>
      </c>
    </row>
    <row r="17">
      <c r="A17" s="10" t="inlineStr">
        <is>
          <t>R&amp;D (Defy design, Samuel Hafer $19.5K)</t>
        </is>
      </c>
      <c r="B17" s="10" t="inlineStr">
        <is>
          <t>philanthropy / R&amp;D Tax Incentive</t>
        </is>
      </c>
      <c r="C17" s="13" t="inlineStr">
        <is>
          <t>pre-commercial</t>
        </is>
      </c>
    </row>
    <row r="18">
      <c r="A18" s="10" t="inlineStr">
        <is>
          <t>Annual fixed block (~$123K/yr)</t>
        </is>
      </c>
      <c r="B18" s="10" t="inlineStr">
        <is>
          <t>philanthropy today -&gt; bed margin at scale</t>
        </is>
      </c>
      <c r="C18" s="13" t="inlineStr">
        <is>
          <t>bridge to commercial sustainability</t>
        </is>
      </c>
    </row>
    <row r="19">
      <c r="A19" s="10" t="inlineStr">
        <is>
          <t>Per-bed variable (materials, assembly, freight)</t>
        </is>
      </c>
      <c r="B19" s="10" t="inlineStr">
        <is>
          <t>commercial (bed price $750)</t>
        </is>
      </c>
      <c r="C19" s="13" t="inlineStr">
        <is>
          <t>the bit a buyer pays for</t>
        </is>
      </c>
    </row>
    <row r="20">
      <c r="A20" s="10" t="inlineStr">
        <is>
          <t>Founder commercialisation (25 days)</t>
        </is>
      </c>
      <c r="B20" s="10" t="inlineStr">
        <is>
          <t>recovered in margin across won orders</t>
        </is>
      </c>
      <c r="C20" s="13" t="inlineStr">
        <is>
          <t>customer acquisition cost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Cost-down trajectory — how the bed gets cheaper over time</t>
        </is>
      </c>
    </row>
    <row r="3">
      <c r="A3" s="5" t="inlineStr">
        <is>
          <t>Stage</t>
        </is>
      </c>
      <c r="B3" s="5" t="inlineStr">
        <is>
          <t>Trigger</t>
        </is>
      </c>
      <c r="C3" s="5" t="inlineStr">
        <is>
          <t>Plastic legs $/bed</t>
        </is>
      </c>
      <c r="D3" s="5" t="inlineStr">
        <is>
          <t>Direct total $/bed</t>
        </is>
      </c>
      <c r="E3" s="5" t="inlineStr">
        <is>
          <t>Marginal+freight $/bed</t>
        </is>
      </c>
      <c r="F3" s="5" t="inlineStr">
        <is>
          <t>Confidence</t>
        </is>
      </c>
    </row>
    <row r="4">
      <c r="A4" s="10" t="inlineStr">
        <is>
          <t>0. Defy kits</t>
        </is>
      </c>
      <c r="B4" s="13" t="inlineStr">
        <is>
          <t>today ~100/yr, no plant</t>
        </is>
      </c>
      <c r="C4" s="11" t="n">
        <v>344.05</v>
      </c>
      <c r="D4" s="11" t="n">
        <v>469.79</v>
      </c>
      <c r="E4" s="19" t="n">
        <v>685</v>
      </c>
      <c r="F4" s="10" t="inlineStr">
        <is>
          <t>verified</t>
        </is>
      </c>
    </row>
    <row r="5">
      <c r="A5" s="10" t="inlineStr">
        <is>
          <t>1. In-source assembly</t>
        </is>
      </c>
      <c r="B5" s="13" t="inlineStr">
        <is>
          <t>~150-300/yr, $2K bench + trained operators</t>
        </is>
      </c>
      <c r="C5" s="11" t="n">
        <v>344.05</v>
      </c>
      <c r="D5" s="11" t="n">
        <v>469.79</v>
      </c>
      <c r="E5" s="19" t="n">
        <v>660</v>
      </c>
      <c r="F5" s="10" t="inlineStr">
        <is>
          <t>target</t>
        </is>
      </c>
    </row>
    <row r="6">
      <c r="A6" s="10" t="inlineStr">
        <is>
          <t>2. In-source pressing+CNC (Factory)</t>
        </is>
      </c>
      <c r="B6" s="13" t="inlineStr">
        <is>
          <t>~300-500/yr committed, $90-200K capex</t>
        </is>
      </c>
      <c r="C6" s="11" t="n">
        <v>150</v>
      </c>
      <c r="D6" s="11" t="n">
        <v>275.74</v>
      </c>
      <c r="E6" s="19" t="n">
        <v>426</v>
      </c>
      <c r="F6" s="10" t="inlineStr">
        <is>
          <t>target_future</t>
        </is>
      </c>
    </row>
    <row r="7">
      <c r="A7" s="10" t="inlineStr">
        <is>
          <t>3. Community + free waste plastic</t>
        </is>
      </c>
      <c r="B7" s="13" t="inlineStr">
        <is>
          <t>~1,000/yr, CDP/volunteer + council-paid feedstock</t>
        </is>
      </c>
      <c r="C7" s="11" t="n">
        <v>27</v>
      </c>
      <c r="D7" s="11" t="n">
        <v>140.74</v>
      </c>
      <c r="E7" s="19" t="n">
        <v>291</v>
      </c>
      <c r="F7" s="10" t="inlineStr">
        <is>
          <t>future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2" customWidth="1" min="4" max="4"/>
    <col width="34" customWidth="1" min="5" max="5"/>
    <col width="38" customWidth="1" min="6" max="6"/>
  </cols>
  <sheetData>
    <row r="1">
      <c r="A1" s="1" t="inlineStr">
        <is>
          <t>Critical review — every number, its source, confidence and open issue</t>
        </is>
      </c>
    </row>
    <row r="3">
      <c r="A3" s="5" t="inlineStr">
        <is>
          <t>Item</t>
        </is>
      </c>
      <c r="B3" s="5" t="inlineStr">
        <is>
          <t>Value</t>
        </is>
      </c>
      <c r="C3" s="5" t="inlineStr">
        <is>
          <t>Source</t>
        </is>
      </c>
      <c r="D3" s="5" t="inlineStr">
        <is>
          <t>Confidence</t>
        </is>
      </c>
      <c r="E3" s="5" t="inlineStr">
        <is>
          <t>Issue</t>
        </is>
      </c>
      <c r="F3" s="5" t="inlineStr">
        <is>
          <t>Recommended fix</t>
        </is>
      </c>
    </row>
    <row r="4">
      <c r="A4" s="10" t="inlineStr">
        <is>
          <t>HDPE kit (Defy)</t>
        </is>
      </c>
      <c r="B4" s="10" t="n">
        <v>344.05</v>
      </c>
      <c r="C4" s="13" t="inlineStr">
        <is>
          <t>INV-1602+INV-1732</t>
        </is>
      </c>
      <c r="D4" s="26" t="inlineStr">
        <is>
          <t>verified</t>
        </is>
      </c>
      <c r="E4" s="13" t="inlineStr">
        <is>
          <t>none</t>
        </is>
      </c>
      <c r="F4" s="13" t="inlineStr">
        <is>
          <t>Get volume quote at 500/1000/5000 - this is the swing number</t>
        </is>
      </c>
    </row>
    <row r="5">
      <c r="A5" s="10" t="inlineStr">
        <is>
          <t>Steel poles</t>
        </is>
      </c>
      <c r="B5" s="10" t="n">
        <v>27</v>
      </c>
      <c r="C5" s="13" t="inlineStr">
        <is>
          <t>DNA Steel Notion BOM</t>
        </is>
      </c>
      <c r="D5" s="26" t="inlineStr">
        <is>
          <t>verified</t>
        </is>
      </c>
      <c r="E5" s="13" t="inlineStr">
        <is>
          <t>invoices in Notion not ACT-GD Xero</t>
        </is>
      </c>
      <c r="F5" s="13" t="inlineStr">
        <is>
          <t>Pull Notion invoices to confirm + get volume</t>
        </is>
      </c>
    </row>
    <row r="6">
      <c r="A6" s="10" t="inlineStr">
        <is>
          <t>Canvas</t>
        </is>
      </c>
      <c r="B6" s="10" t="n">
        <v>93.5</v>
      </c>
      <c r="C6" s="13" t="inlineStr">
        <is>
          <t>Centre Canvas 3 invoices 270 covers</t>
        </is>
      </c>
      <c r="D6" s="26" t="inlineStr">
        <is>
          <t>verified</t>
        </is>
      </c>
      <c r="E6" s="13" t="inlineStr">
        <is>
          <t>tagged ACT-IN; $10,285 duplicate</t>
        </is>
      </c>
      <c r="F6" s="13" t="inlineStr">
        <is>
          <t>Retag ACT-IN-&gt;ACT-GD $14,915; reconcile duplicate</t>
        </is>
      </c>
    </row>
    <row r="7">
      <c r="A7" s="10" t="inlineStr">
        <is>
          <t>End caps</t>
        </is>
      </c>
      <c r="B7" s="10" t="n">
        <v>3.2</v>
      </c>
      <c r="C7" s="13" t="inlineStr">
        <is>
          <t>Hardware supplier</t>
        </is>
      </c>
      <c r="D7" s="26" t="inlineStr">
        <is>
          <t>verified</t>
        </is>
      </c>
      <c r="E7" s="13" t="inlineStr">
        <is>
          <t>none</t>
        </is>
      </c>
      <c r="F7" s="13" t="inlineStr">
        <is>
          <t>none</t>
        </is>
      </c>
    </row>
    <row r="8">
      <c r="A8" s="10" t="inlineStr">
        <is>
          <t>Screws</t>
        </is>
      </c>
      <c r="B8" s="10" t="n">
        <v>1.04</v>
      </c>
      <c r="C8" s="13" t="inlineStr">
        <is>
          <t>Coastal Fasteners RB20247673190</t>
        </is>
      </c>
      <c r="D8" s="26" t="inlineStr">
        <is>
          <t>verified</t>
        </is>
      </c>
      <c r="E8" s="13" t="inlineStr">
        <is>
          <t>tagged ACT-FM shared with facility</t>
        </is>
      </c>
      <c r="F8" s="13" t="inlineStr">
        <is>
          <t>Split-tag to ACT-GD</t>
        </is>
      </c>
    </row>
    <row r="9">
      <c r="A9" s="10" t="inlineStr">
        <is>
          <t>Bolts</t>
        </is>
      </c>
      <c r="B9" s="10" t="n">
        <v>1</v>
      </c>
      <c r="C9" s="13" t="inlineStr">
        <is>
          <t>estimate</t>
        </is>
      </c>
      <c r="D9" s="27" t="inlineStr">
        <is>
          <t>inferred</t>
        </is>
      </c>
      <c r="E9" s="13" t="inlineStr">
        <is>
          <t>rate estimated</t>
        </is>
      </c>
      <c r="F9" s="13" t="inlineStr">
        <is>
          <t>Confirm on next Coastal invoice OCR</t>
        </is>
      </c>
    </row>
    <row r="10">
      <c r="A10" s="10" t="inlineStr">
        <is>
          <t>Defy-kit direct total</t>
        </is>
      </c>
      <c r="B10" s="10" t="n">
        <v>469.79</v>
      </c>
      <c r="C10" s="13" t="inlineStr">
        <is>
          <t>sum of BOM</t>
        </is>
      </c>
      <c r="D10" s="26" t="inlineStr">
        <is>
          <t>verified</t>
        </is>
      </c>
      <c r="E10" s="13" t="inlineStr">
        <is>
          <t>none</t>
        </is>
      </c>
      <c r="F10" s="13" t="inlineStr">
        <is>
          <t>none</t>
        </is>
      </c>
    </row>
    <row r="11">
      <c r="A11" s="10" t="inlineStr">
        <is>
          <t>Defy panel each</t>
        </is>
      </c>
      <c r="B11" s="10" t="n">
        <v>200</v>
      </c>
      <c r="C11" s="13" t="inlineStr">
        <is>
          <t>INV-1731</t>
        </is>
      </c>
      <c r="D11" s="26" t="inlineStr">
        <is>
          <t>verified</t>
        </is>
      </c>
      <c r="E11" s="13" t="inlineStr">
        <is>
          <t>none</t>
        </is>
      </c>
      <c r="F11" s="13" t="inlineStr">
        <is>
          <t>none</t>
        </is>
      </c>
    </row>
    <row r="12">
      <c r="A12" s="10" t="inlineStr">
        <is>
          <t>Defy cut+finish only</t>
        </is>
      </c>
      <c r="B12" s="10" t="n">
        <v>121</v>
      </c>
      <c r="C12" s="13" t="inlineStr">
        <is>
          <t>INV-1602 16 beds</t>
        </is>
      </c>
      <c r="D12" s="26" t="inlineStr">
        <is>
          <t>verified</t>
        </is>
      </c>
      <c r="E12" s="13" t="inlineStr">
        <is>
          <t>none</t>
        </is>
      </c>
      <c r="F12" s="13" t="inlineStr">
        <is>
          <t>none</t>
        </is>
      </c>
    </row>
    <row r="13">
      <c r="A13" s="10" t="inlineStr">
        <is>
          <t>Defy assembly labour</t>
        </is>
      </c>
      <c r="B13" s="10" t="n">
        <v>55.95</v>
      </c>
      <c r="C13" s="13" t="inlineStr">
        <is>
          <t>Defy line 2026-03-19</t>
        </is>
      </c>
      <c r="D13" s="26" t="inlineStr">
        <is>
          <t>verified</t>
        </is>
      </c>
      <c r="E13" s="13" t="inlineStr">
        <is>
          <t>none</t>
        </is>
      </c>
      <c r="F13" s="13" t="inlineStr">
        <is>
          <t>none</t>
        </is>
      </c>
    </row>
    <row r="14">
      <c r="A14" s="10" t="inlineStr">
        <is>
          <t>HDPE shred rate</t>
        </is>
      </c>
      <c r="B14" s="10" t="n">
        <v>2</v>
      </c>
      <c r="C14" s="13" t="inlineStr">
        <is>
          <t>INV-1731 1200kg bag</t>
        </is>
      </c>
      <c r="D14" s="26" t="inlineStr">
        <is>
          <t>verified</t>
        </is>
      </c>
      <c r="E14" s="13" t="inlineStr">
        <is>
          <t>none</t>
        </is>
      </c>
      <c r="F14" s="13" t="inlineStr">
        <is>
          <t>none</t>
        </is>
      </c>
    </row>
    <row r="15">
      <c r="A15" s="10" t="inlineStr">
        <is>
          <t>Delivery rate per kg</t>
        </is>
      </c>
      <c r="B15" s="10" t="n">
        <v>0.75</v>
      </c>
      <c r="C15" s="13" t="inlineStr">
        <is>
          <t>INV-1731 $900/1200kg</t>
        </is>
      </c>
      <c r="D15" s="26" t="inlineStr">
        <is>
          <t>verified</t>
        </is>
      </c>
      <c r="E15" s="13" t="inlineStr">
        <is>
          <t>none</t>
        </is>
      </c>
      <c r="F15" s="13" t="inlineStr">
        <is>
          <t>none</t>
        </is>
      </c>
    </row>
    <row r="16">
      <c r="A16" s="10" t="inlineStr">
        <is>
          <t>Raw HDPE per bed no delivery</t>
        </is>
      </c>
      <c r="B16" s="10" t="n">
        <v>40</v>
      </c>
      <c r="C16" s="13" t="inlineStr">
        <is>
          <t>20kg x $2/kg</t>
        </is>
      </c>
      <c r="D16" s="26" t="inlineStr">
        <is>
          <t>verified</t>
        </is>
      </c>
      <c r="E16" s="13" t="inlineStr">
        <is>
          <t>none</t>
        </is>
      </c>
      <c r="F16" s="13" t="inlineStr">
        <is>
          <t>none</t>
        </is>
      </c>
    </row>
    <row r="17">
      <c r="A17" s="10" t="inlineStr">
        <is>
          <t>Raw HDPE per bed with delivery</t>
        </is>
      </c>
      <c r="B17" s="10" t="n">
        <v>55</v>
      </c>
      <c r="C17" s="13" t="inlineStr">
        <is>
          <t>20kg x $2.75/kg</t>
        </is>
      </c>
      <c r="D17" s="26" t="inlineStr">
        <is>
          <t>verified</t>
        </is>
      </c>
      <c r="E17" s="13" t="inlineStr">
        <is>
          <t>none</t>
        </is>
      </c>
      <c r="F17" s="13" t="inlineStr">
        <is>
          <t>none</t>
        </is>
      </c>
    </row>
    <row r="18">
      <c r="A18" s="10" t="inlineStr">
        <is>
          <t>HDPE kg per bed</t>
        </is>
      </c>
      <c r="B18" s="10" t="n">
        <v>20</v>
      </c>
      <c r="C18" s="13" t="inlineStr">
        <is>
          <t>Ben confirmed</t>
        </is>
      </c>
      <c r="D18" s="26" t="inlineStr">
        <is>
          <t>verified</t>
        </is>
      </c>
      <c r="E18" s="13" t="inlineStr">
        <is>
          <t>none</t>
        </is>
      </c>
      <c r="F18" s="13" t="inlineStr">
        <is>
          <t>none</t>
        </is>
      </c>
    </row>
    <row r="19">
      <c r="A19" s="10" t="inlineStr">
        <is>
          <t>Factory direct total</t>
        </is>
      </c>
      <c r="B19" s="10" t="n">
        <v>275.74</v>
      </c>
      <c r="C19" s="13" t="inlineStr">
        <is>
          <t>modelled build-up</t>
        </is>
      </c>
      <c r="D19" s="28" t="inlineStr">
        <is>
          <t>modelled</t>
        </is>
      </c>
      <c r="E19" s="13" t="inlineStr">
        <is>
          <t>diesel+labour allocation estimates</t>
        </is>
      </c>
      <c r="F19" s="13" t="inlineStr">
        <is>
          <t>Validate via SIH advisory cost tool</t>
        </is>
      </c>
    </row>
    <row r="20">
      <c r="A20" s="10" t="inlineStr">
        <is>
          <t>Diesel per bed factory</t>
        </is>
      </c>
      <c r="B20" s="10" t="n">
        <v>15</v>
      </c>
      <c r="C20" s="13" t="inlineStr">
        <is>
          <t>25L/day / 5 beds</t>
        </is>
      </c>
      <c r="D20" s="28" t="inlineStr">
        <is>
          <t>modelled</t>
        </is>
      </c>
      <c r="E20" s="13" t="inlineStr">
        <is>
          <t>allocation estimate</t>
        </is>
      </c>
      <c r="F20" s="13" t="inlineStr">
        <is>
          <t>Meter actual fuel</t>
        </is>
      </c>
    </row>
    <row r="21">
      <c r="A21" s="10" t="inlineStr">
        <is>
          <t>Operator labour per bed factory</t>
        </is>
      </c>
      <c r="B21" s="10" t="n">
        <v>80</v>
      </c>
      <c r="C21" s="13" t="inlineStr">
        <is>
          <t>$400/day / 5 beds</t>
        </is>
      </c>
      <c r="D21" s="28" t="inlineStr">
        <is>
          <t>modelled</t>
        </is>
      </c>
      <c r="E21" s="13" t="inlineStr">
        <is>
          <t>5/day throughput unproven</t>
        </is>
      </c>
      <c r="F21" s="13" t="inlineStr">
        <is>
          <t>Time-study a real run</t>
        </is>
      </c>
    </row>
    <row r="22">
      <c r="A22" s="10" t="inlineStr">
        <is>
          <t>Production operator per day</t>
        </is>
      </c>
      <c r="B22" s="10" t="n">
        <v>400</v>
      </c>
      <c r="C22" s="13" t="inlineStr">
        <is>
          <t>v5 labour_rates</t>
        </is>
      </c>
      <c r="D22" s="27" t="inlineStr">
        <is>
          <t>inferred</t>
        </is>
      </c>
      <c r="E22" s="13" t="inlineStr">
        <is>
          <t>not invoice-tied</t>
        </is>
      </c>
      <c r="F22" s="13" t="inlineStr">
        <is>
          <t>Confirm vs payroll/contractor rate</t>
        </is>
      </c>
    </row>
    <row r="23">
      <c r="A23" s="10" t="inlineStr">
        <is>
          <t>Kirmos facility per month 50pct</t>
        </is>
      </c>
      <c r="B23" s="10" t="n">
        <v>2250</v>
      </c>
      <c r="C23" s="13" t="inlineStr">
        <is>
          <t>$4,500/mo invoice x 50%</t>
        </is>
      </c>
      <c r="D23" s="27" t="inlineStr">
        <is>
          <t>inferred</t>
        </is>
      </c>
      <c r="E23" s="13" t="inlineStr">
        <is>
          <t>50% split is estimate</t>
        </is>
      </c>
      <c r="F23" s="13" t="inlineStr">
        <is>
          <t>Confirm beds-vs-other split with Nic</t>
        </is>
      </c>
    </row>
    <row r="24">
      <c r="A24" s="10" t="inlineStr">
        <is>
          <t>First-principles floor</t>
        </is>
      </c>
      <c r="B24" s="10" t="n">
        <v>128.99</v>
      </c>
      <c r="C24" s="13" t="inlineStr">
        <is>
          <t>v5 modelled</t>
        </is>
      </c>
      <c r="D24" s="28" t="inlineStr">
        <is>
          <t>modelled</t>
        </is>
      </c>
      <c r="E24" s="13" t="inlineStr">
        <is>
          <t>benchmark not achievable today</t>
        </is>
      </c>
      <c r="F24" s="13" t="inlineStr">
        <is>
          <t>Keep as aspirational floor only</t>
        </is>
      </c>
    </row>
    <row r="25">
      <c r="A25" s="10" t="inlineStr">
        <is>
          <t>Steel raw rate per m</t>
        </is>
      </c>
      <c r="B25" s="10" t="n">
        <v>5.5</v>
      </c>
      <c r="C25" s="13" t="inlineStr">
        <is>
          <t>Brisbane Steel Xero</t>
        </is>
      </c>
      <c r="D25" s="26" t="inlineStr">
        <is>
          <t>verified</t>
        </is>
      </c>
      <c r="E25" s="13" t="inlineStr">
        <is>
          <t>floor calc only</t>
        </is>
      </c>
      <c r="F25" s="13" t="inlineStr">
        <is>
          <t>none</t>
        </is>
      </c>
    </row>
    <row r="26">
      <c r="A26" s="10" t="inlineStr">
        <is>
          <t>Canvas raw 12oz per m</t>
        </is>
      </c>
      <c r="B26" s="10" t="n">
        <v>17.5</v>
      </c>
      <c r="C26" s="13" t="inlineStr">
        <is>
          <t>wholesale benchmark</t>
        </is>
      </c>
      <c r="D26" s="6" t="inlineStr">
        <is>
          <t>unverified</t>
        </is>
      </c>
      <c r="E26" s="13" t="inlineStr">
        <is>
          <t>no quote obtained</t>
        </is>
      </c>
      <c r="F26" s="13" t="inlineStr">
        <is>
          <t>Get raw-canvas quote to firm index</t>
        </is>
      </c>
    </row>
    <row r="27">
      <c r="A27" s="10" t="inlineStr">
        <is>
          <t>Founder rate per day</t>
        </is>
      </c>
      <c r="B27" s="10" t="n">
        <v>1000</v>
      </c>
      <c r="C27" s="13" t="inlineStr">
        <is>
          <t>v5 assumption</t>
        </is>
      </c>
      <c r="D27" s="6" t="inlineStr">
        <is>
          <t>unverified</t>
        </is>
      </c>
      <c r="E27" s="13" t="inlineStr">
        <is>
          <t>FOUNDER-CONFIRM; conflicts with Day 3 ~$560/day</t>
        </is>
      </c>
      <c r="F27" s="13" t="inlineStr">
        <is>
          <t>Ben/Nic confirm rate; reconcile with Day 3</t>
        </is>
      </c>
    </row>
    <row r="28">
      <c r="A28" s="10" t="inlineStr">
        <is>
          <t>Founder days per year on Goods</t>
        </is>
      </c>
      <c r="B28" s="10" t="n">
        <v>150</v>
      </c>
      <c r="C28" s="13" t="inlineStr">
        <is>
          <t>v5 assumption</t>
        </is>
      </c>
      <c r="D28" s="6" t="inlineStr">
        <is>
          <t>unverified</t>
        </is>
      </c>
      <c r="E28" s="13" t="inlineStr">
        <is>
          <t>FOUNDER-CONFIRM; not time-tracked</t>
        </is>
      </c>
      <c r="F28" s="13" t="inlineStr">
        <is>
          <t>Ben/Nic confirm FTE %</t>
        </is>
      </c>
    </row>
    <row r="29">
      <c r="A29" s="10" t="inlineStr">
        <is>
          <t>Founder split days 30/50/25/45</t>
        </is>
      </c>
      <c r="B29" s="10" t="n">
        <v>150</v>
      </c>
      <c r="C29" s="13" t="inlineStr">
        <is>
          <t>v5 assumption</t>
        </is>
      </c>
      <c r="D29" s="6" t="inlineStr">
        <is>
          <t>unverified</t>
        </is>
      </c>
      <c r="E29" s="13" t="inlineStr">
        <is>
          <t>FOUNDER-CONFIRM; not evidenced</t>
        </is>
      </c>
      <c r="F29" s="13" t="inlineStr">
        <is>
          <t>Ben/Nic confirm activity split</t>
        </is>
      </c>
    </row>
    <row r="30">
      <c r="A30" s="10" t="inlineStr">
        <is>
          <t>Founder production per bed at 100</t>
        </is>
      </c>
      <c r="B30" s="10" t="n">
        <v>300</v>
      </c>
      <c r="C30" s="13" t="inlineStr">
        <is>
          <t>$30K/100</t>
        </is>
      </c>
      <c r="D30" s="28" t="inlineStr">
        <is>
          <t>modelled</t>
        </is>
      </c>
      <c r="E30" s="13" t="inlineStr">
        <is>
          <t>depends on unverified inputs</t>
        </is>
      </c>
      <c r="F30" s="13" t="inlineStr">
        <is>
          <t>Recompute after confirm</t>
        </is>
      </c>
    </row>
    <row r="31">
      <c r="A31" s="10" t="inlineStr">
        <is>
          <t>Field travel per bed at 100</t>
        </is>
      </c>
      <c r="B31" s="10" t="n">
        <v>510</v>
      </c>
      <c r="C31" s="13" t="inlineStr">
        <is>
          <t>v5 ($51K/yr)</t>
        </is>
      </c>
      <c r="D31" s="28" t="inlineStr">
        <is>
          <t>modelled</t>
        </is>
      </c>
      <c r="E31" s="13" t="inlineStr">
        <is>
          <t>lumpy relationship cost</t>
        </is>
      </c>
      <c r="F31" s="13" t="inlineStr">
        <is>
          <t>Treat as fixed block not per-bed</t>
        </is>
      </c>
    </row>
    <row r="32">
      <c r="A32" s="10" t="inlineStr">
        <is>
          <t>Admin per bed at 100</t>
        </is>
      </c>
      <c r="B32" s="10" t="n">
        <v>147</v>
      </c>
      <c r="C32" s="13" t="inlineStr">
        <is>
          <t>v5 ($14.7K/yr)</t>
        </is>
      </c>
      <c r="D32" s="28" t="inlineStr">
        <is>
          <t>modelled</t>
        </is>
      </c>
      <c r="E32" s="13" t="inlineStr">
        <is>
          <t>not itemised</t>
        </is>
      </c>
      <c r="F32" s="13" t="inlineStr">
        <is>
          <t>Tie to actual admin spend</t>
        </is>
      </c>
    </row>
    <row r="33">
      <c r="A33" s="10" t="inlineStr">
        <is>
          <t>Long-haul freight per bed</t>
        </is>
      </c>
      <c r="B33" s="10" t="n">
        <v>150</v>
      </c>
      <c r="C33" s="13" t="inlineStr">
        <is>
          <t>v5 overhead line</t>
        </is>
      </c>
      <c r="D33" s="29" t="inlineStr">
        <is>
          <t>wrong</t>
        </is>
      </c>
      <c r="E33" s="13" t="inlineStr">
        <is>
          <t>classified as overhead; it is variable</t>
        </is>
      </c>
      <c r="F33" s="13" t="inlineStr">
        <is>
          <t>Move into marginal cost (done in v6)</t>
        </is>
      </c>
    </row>
    <row r="34">
      <c r="A34" s="10" t="inlineStr">
        <is>
          <t>Local freight per bed</t>
        </is>
      </c>
      <c r="B34" s="10" t="n">
        <v>25</v>
      </c>
      <c r="C34" s="13" t="inlineStr">
        <is>
          <t>v5 estimate</t>
        </is>
      </c>
      <c r="D34" s="28" t="inlineStr">
        <is>
          <t>modelled</t>
        </is>
      </c>
      <c r="E34" s="13" t="inlineStr">
        <is>
          <t>none</t>
        </is>
      </c>
      <c r="F34" s="13" t="inlineStr">
        <is>
          <t>Confirm vs Loadshift/Peak Up actuals</t>
        </is>
      </c>
    </row>
    <row r="35">
      <c r="A35" s="10" t="inlineStr">
        <is>
          <t>Annual fixed block</t>
        </is>
      </c>
      <c r="B35" s="10" t="n">
        <v>122700</v>
      </c>
      <c r="C35" s="13" t="inlineStr">
        <is>
          <t>v6 recompute</t>
        </is>
      </c>
      <c r="D35" s="28" t="inlineStr">
        <is>
          <t>modelled</t>
        </is>
      </c>
      <c r="E35" s="13" t="inlineStr">
        <is>
          <t>built from modelled lines</t>
        </is>
      </c>
      <c r="F35" s="13" t="inlineStr">
        <is>
          <t>Lock after founder-confirm</t>
        </is>
      </c>
    </row>
    <row r="36">
      <c r="A36" s="10" t="inlineStr">
        <is>
          <t>Marginal cost Defy-kit today</t>
        </is>
      </c>
      <c r="B36" s="10" t="n">
        <v>684.79</v>
      </c>
      <c r="C36" s="13" t="inlineStr">
        <is>
          <t>v6 recompute</t>
        </is>
      </c>
      <c r="D36" s="28" t="inlineStr">
        <is>
          <t>modelled</t>
        </is>
      </c>
      <c r="E36" s="13" t="inlineStr">
        <is>
          <t>none</t>
        </is>
      </c>
      <c r="F36" s="13" t="inlineStr">
        <is>
          <t>none</t>
        </is>
      </c>
    </row>
    <row r="37">
      <c r="A37" s="10" t="inlineStr">
        <is>
          <t>Marginal cost factory</t>
        </is>
      </c>
      <c r="B37" s="10" t="n">
        <v>425.74</v>
      </c>
      <c r="C37" s="13" t="inlineStr">
        <is>
          <t>v6 recompute</t>
        </is>
      </c>
      <c r="D37" s="28" t="inlineStr">
        <is>
          <t>modelled</t>
        </is>
      </c>
      <c r="E37" s="13" t="inlineStr">
        <is>
          <t>assumes in-house plant live</t>
        </is>
      </c>
      <c r="F37" s="13" t="inlineStr">
        <is>
          <t>none</t>
        </is>
      </c>
    </row>
    <row r="38">
      <c r="A38" s="10" t="inlineStr">
        <is>
          <t>Breakeven volume factory</t>
        </is>
      </c>
      <c r="B38" s="10" t="n">
        <v>378</v>
      </c>
      <c r="C38" s="13" t="inlineStr">
        <is>
          <t>$122.7K / $324.26</t>
        </is>
      </c>
      <c r="D38" s="28" t="inlineStr">
        <is>
          <t>modelled</t>
        </is>
      </c>
      <c r="E38" s="13" t="inlineStr">
        <is>
          <t>sensitive to fixed block + price</t>
        </is>
      </c>
      <c r="F38" s="13" t="inlineStr">
        <is>
          <t>Re-run after founder-confirm</t>
        </is>
      </c>
    </row>
    <row r="39">
      <c r="A39" s="10" t="inlineStr">
        <is>
          <t>Naive fully-loaded at 100</t>
        </is>
      </c>
      <c r="B39" s="10" t="n">
        <v>1912</v>
      </c>
      <c r="C39" s="13" t="inlineStr">
        <is>
          <t>v5 fully_loaded_grid</t>
        </is>
      </c>
      <c r="D39" s="26" t="inlineStr">
        <is>
          <t>verified</t>
        </is>
      </c>
      <c r="E39" s="13" t="inlineStr">
        <is>
          <t>misleading framing</t>
        </is>
      </c>
      <c r="F39" s="13" t="inlineStr">
        <is>
          <t>Always pair with marginal + fixed</t>
        </is>
      </c>
    </row>
    <row r="40">
      <c r="A40" s="10" t="inlineStr">
        <is>
          <t>Capex to state_4</t>
        </is>
      </c>
      <c r="B40" s="10" t="n">
        <v>222000</v>
      </c>
      <c r="C40" s="13" t="inlineStr">
        <is>
          <t>v5 modelled (high)</t>
        </is>
      </c>
      <c r="D40" s="28" t="inlineStr">
        <is>
          <t>modelled</t>
        </is>
      </c>
      <c r="E40" s="13" t="inlineStr">
        <is>
          <t>equipment not firm-quoted</t>
        </is>
      </c>
      <c r="F40" s="13" t="inlineStr">
        <is>
          <t>Get firm shredder/press/CNC quotes</t>
        </is>
      </c>
    </row>
    <row r="41">
      <c r="A41" s="10" t="inlineStr">
        <is>
          <t>Net capital ask high</t>
        </is>
      </c>
      <c r="B41" s="10" t="n">
        <v>200000</v>
      </c>
      <c r="C41" s="13" t="inlineStr">
        <is>
          <t>capex - $110K invested</t>
        </is>
      </c>
      <c r="D41" s="28" t="inlineStr">
        <is>
          <t>modelled</t>
        </is>
      </c>
      <c r="E41" s="13" t="inlineStr">
        <is>
          <t>none</t>
        </is>
      </c>
      <c r="F41" s="13" t="inlineStr">
        <is>
          <t>none</t>
        </is>
      </c>
    </row>
    <row r="42">
      <c r="A42" s="10" t="inlineStr">
        <is>
          <t>Defy margin per bed</t>
        </is>
      </c>
      <c r="B42" s="10" t="n">
        <v>289.05</v>
      </c>
      <c r="C42" s="13" t="inlineStr">
        <is>
          <t>$344.05 - $55</t>
        </is>
      </c>
      <c r="D42" s="28" t="inlineStr">
        <is>
          <t>modelled</t>
        </is>
      </c>
      <c r="E42" s="13" t="inlineStr">
        <is>
          <t>none</t>
        </is>
      </c>
      <c r="F42" s="13" t="inlineStr">
        <is>
          <t>the in-sourcing prize</t>
        </is>
      </c>
    </row>
    <row r="43">
      <c r="A43" s="10" t="inlineStr">
        <is>
          <t>Payback at 500/yr on $90K</t>
        </is>
      </c>
      <c r="B43" s="10" t="n">
        <v>0.9</v>
      </c>
      <c r="C43" s="13" t="inlineStr">
        <is>
          <t>$90K/$97K</t>
        </is>
      </c>
      <c r="D43" s="28" t="inlineStr">
        <is>
          <t>modelled</t>
        </is>
      </c>
      <c r="E43" s="13" t="inlineStr">
        <is>
          <t>depends on hitting 500/yr</t>
        </is>
      </c>
      <c r="F43" s="13" t="inlineStr">
        <is>
          <t>Tie capex draw to committed volume</t>
        </is>
      </c>
    </row>
    <row r="44">
      <c r="A44" s="10" t="inlineStr">
        <is>
          <t>Price per bed</t>
        </is>
      </c>
      <c r="B44" s="10" t="n">
        <v>750</v>
      </c>
      <c r="C44" s="13" t="inlineStr">
        <is>
          <t>shop stretch-bed-single</t>
        </is>
      </c>
      <c r="D44" s="26" t="inlineStr">
        <is>
          <t>verified</t>
        </is>
      </c>
      <c r="E44" s="13" t="inlineStr">
        <is>
          <t>none</t>
        </is>
      </c>
      <c r="F44" s="13" t="inlineStr">
        <is>
          <t>none</t>
        </is>
      </c>
    </row>
    <row r="45">
      <c r="A45" s="10" t="inlineStr">
        <is>
          <t>Commercial benchmark per bed</t>
        </is>
      </c>
      <c r="B45" s="10" t="n">
        <v>801</v>
      </c>
      <c r="C45" s="13" t="inlineStr">
        <is>
          <t>Centrecorp INV-0291</t>
        </is>
      </c>
      <c r="D45" s="26" t="inlineStr">
        <is>
          <t>verified</t>
        </is>
      </c>
      <c r="E45" s="13" t="inlineStr">
        <is>
          <t>grant-funded not open-market</t>
        </is>
      </c>
      <c r="F45" s="13" t="inlineStr">
        <is>
          <t>Don't quote as market price</t>
        </is>
      </c>
    </row>
    <row r="46">
      <c r="A46" s="10" t="inlineStr">
        <is>
          <t>Counterfactual steel-frame bed low</t>
        </is>
      </c>
      <c r="B46" s="10" t="n">
        <v>1500</v>
      </c>
      <c r="C46" s="13" t="inlineStr">
        <is>
          <t>AU 2026 market scan</t>
        </is>
      </c>
      <c r="D46" s="27" t="inlineStr">
        <is>
          <t>inferred</t>
        </is>
      </c>
      <c r="E46" s="13" t="inlineStr">
        <is>
          <t>no firm quotes</t>
        </is>
      </c>
      <c r="F46" s="13" t="inlineStr">
        <is>
          <t>Get 2-3 retail quotes</t>
        </is>
      </c>
    </row>
    <row r="47">
      <c r="A47" s="10" t="inlineStr">
        <is>
          <t>Philanthropy per founder-day</t>
        </is>
      </c>
      <c r="B47" s="10" t="n">
        <v>5000</v>
      </c>
      <c r="C47" s="13" t="inlineStr">
        <is>
          <t>v5 estimate</t>
        </is>
      </c>
      <c r="D47" s="6" t="inlineStr">
        <is>
          <t>unverified</t>
        </is>
      </c>
      <c r="E47" s="13" t="inlineStr">
        <is>
          <t>not evidenced</t>
        </is>
      </c>
      <c r="F47" s="13" t="inlineStr">
        <is>
          <t>Back-test against actual raises</t>
        </is>
      </c>
    </row>
    <row r="48">
      <c r="A48" s="10" t="inlineStr">
        <is>
          <t>Xero per-bed proxy</t>
        </is>
      </c>
      <c r="B48" s="10" t="n">
        <v>991.49</v>
      </c>
      <c r="C48" s="13" t="inlineStr">
        <is>
          <t>act-infra last-50 window</t>
        </is>
      </c>
      <c r="D48" s="28" t="inlineStr">
        <is>
          <t>modelled</t>
        </is>
      </c>
      <c r="E48" s="13" t="inlineStr">
        <is>
          <t>dominated by non-production cost</t>
        </is>
      </c>
      <c r="F48" s="13" t="inlineStr">
        <is>
          <t>Do NOT quote as actual</t>
        </is>
      </c>
    </row>
    <row r="49">
      <c r="A49" s="10" t="inlineStr">
        <is>
          <t>Fully-loaded $600 codebase</t>
        </is>
      </c>
      <c r="B49" s="10" t="n">
        <v>600</v>
      </c>
      <c r="C49" s="13" t="inlineStr">
        <is>
          <t>FRRR + Day 4</t>
        </is>
      </c>
      <c r="D49" s="28" t="inlineStr">
        <is>
          <t>modelled</t>
        </is>
      </c>
      <c r="E49" s="13" t="inlineStr">
        <is>
          <t>low-volume planning figure</t>
        </is>
      </c>
      <c r="F49" s="13" t="inlineStr">
        <is>
          <t>Keep as planning anchor not marginal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2026-05-29T00:59:14Z</dcterms:created>
  <dcterms:modified xmlns:dcterms="http://purl.org/dc/terms/" xmlns:xsi="http://www.w3.org/2001/XMLSchema-instance" xsi:type="dcterms:W3CDTF">2026-05-29T00:59:14Z</dcterms:modified>
</cp:coreProperties>
</file>