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280" windowHeight="12360" tabRatio="600" firstSheet="0" activeTab="4" autoFilterDateGrouping="1"/>
  </bookViews>
  <sheets>
    <sheet xmlns:r="http://schemas.openxmlformats.org/officeDocument/2006/relationships" name="Introduction" sheetId="1" state="visible" r:id="rId1"/>
    <sheet xmlns:r="http://schemas.openxmlformats.org/officeDocument/2006/relationships" name="Tab 1. Our Needs" sheetId="2" state="visible" r:id="rId2"/>
    <sheet xmlns:r="http://schemas.openxmlformats.org/officeDocument/2006/relationships" name="Tab 2. Investor Tracking" sheetId="3" state="visible" r:id="rId3"/>
    <sheet xmlns:r="http://schemas.openxmlformats.org/officeDocument/2006/relationships" name="Tab 3. Alignment Tool" sheetId="4" state="visible" r:id="rId4"/>
    <sheet xmlns:r="http://schemas.openxmlformats.org/officeDocument/2006/relationships" name="Example" sheetId="5" state="visible" r:id="rId5"/>
    <sheet xmlns:r="http://schemas.openxmlformats.org/officeDocument/2006/relationships" name="Dropdowns" sheetId="6" state="hidden" r:id="rId6"/>
  </sheets>
  <definedNames>
    <definedName name="InvestorType">Dropdowns!$D$1:$D$15</definedName>
    <definedName name="Priority">Dropdowns!$A$1:$A$5</definedName>
    <definedName name="_xlnm.Print_Titles" localSheetId="1">'Tab 1. Our Needs'!$B:$C</definedName>
    <definedName name="_xlnm.Print_Area" localSheetId="2">'Tab 2. Investor Tracking'!$B$1:$O$36</definedName>
    <definedName name="_xlnm.Print_Area" localSheetId="3">'Tab 3. Alignment Tool'!$B$1:$S$21</definedName>
    <definedName name="_xlnm.Print_Titles" localSheetId="4">'Example'!$B:$C</definedName>
  </definedNames>
  <calcPr calcId="152511" fullCalcOnLoad="1"/>
</workbook>
</file>

<file path=xl/styles.xml><?xml version="1.0" encoding="utf-8"?>
<styleSheet xmlns="http://schemas.openxmlformats.org/spreadsheetml/2006/main">
  <numFmts count="0"/>
  <fonts count="35">
    <font>
      <name val="Calibri"/>
      <family val="2"/>
      <color theme="1"/>
      <sz val="11"/>
      <scheme val="minor"/>
    </font>
    <font>
      <name val="Calibri"/>
      <family val="2"/>
      <b val="1"/>
      <color theme="1"/>
      <sz val="11"/>
      <scheme val="minor"/>
    </font>
    <font>
      <name val="Arial"/>
      <family val="2"/>
      <color theme="1"/>
      <sz val="11"/>
    </font>
    <font>
      <name val="Arial"/>
      <family val="2"/>
      <i val="1"/>
      <color theme="1"/>
      <sz val="10"/>
    </font>
    <font>
      <name val="Arial"/>
      <family val="2"/>
      <color theme="1"/>
      <sz val="10"/>
    </font>
    <font>
      <name val="Arial"/>
      <family val="2"/>
      <b val="1"/>
      <color theme="1"/>
      <sz val="10"/>
    </font>
    <font>
      <name val="Arial"/>
      <family val="2"/>
      <b val="1"/>
      <i val="1"/>
      <color rgb="FF21446E"/>
      <sz val="10"/>
    </font>
    <font>
      <name val="Arial"/>
      <family val="2"/>
      <b val="1"/>
      <color theme="0"/>
      <sz val="10"/>
    </font>
    <font>
      <name val="Arial"/>
      <family val="2"/>
      <i val="1"/>
      <color theme="1"/>
      <sz val="9"/>
    </font>
    <font>
      <name val="Arial"/>
      <family val="2"/>
      <i val="1"/>
      <color theme="1"/>
      <sz val="11"/>
    </font>
    <font>
      <name val="Arial"/>
      <family val="2"/>
      <b val="1"/>
      <i val="1"/>
      <color theme="0"/>
      <sz val="10"/>
    </font>
    <font>
      <name val="Arial"/>
      <family val="2"/>
      <b val="1"/>
      <i val="1"/>
      <color theme="1"/>
      <sz val="10"/>
    </font>
    <font>
      <name val="Arial"/>
      <family val="2"/>
      <b val="1"/>
      <color theme="1"/>
      <sz val="11"/>
    </font>
    <font>
      <name val="Arial"/>
      <family val="2"/>
      <color theme="1"/>
      <sz val="26"/>
    </font>
    <font>
      <name val="Calibri"/>
      <family val="2"/>
      <color theme="10"/>
      <sz val="11"/>
      <u val="single"/>
      <scheme val="minor"/>
    </font>
    <font>
      <name val="Calibri"/>
      <family val="2"/>
      <color theme="11"/>
      <sz val="11"/>
      <u val="single"/>
      <scheme val="minor"/>
    </font>
    <font>
      <name val="Arial"/>
      <family val="2"/>
      <color theme="1"/>
      <sz val="24"/>
    </font>
    <font>
      <name val="Calibri"/>
      <family val="2"/>
      <color theme="1"/>
      <sz val="8"/>
      <scheme val="minor"/>
    </font>
    <font>
      <name val="Arial"/>
      <family val="2"/>
      <color theme="0"/>
      <sz val="16"/>
    </font>
    <font>
      <name val="Arial"/>
      <family val="2"/>
      <color theme="1"/>
      <sz val="8"/>
    </font>
    <font>
      <name val="Arial"/>
      <family val="2"/>
      <b val="1"/>
      <i val="1"/>
      <color theme="1"/>
      <sz val="8"/>
    </font>
    <font>
      <name val="Arial"/>
      <family val="2"/>
      <i val="1"/>
      <color theme="1"/>
      <sz val="8"/>
    </font>
    <font>
      <name val="Calibri"/>
      <family val="2"/>
      <color theme="0"/>
      <sz val="11"/>
      <scheme val="minor"/>
    </font>
    <font>
      <name val="Arial"/>
      <family val="2"/>
      <b val="1"/>
      <sz val="10"/>
    </font>
    <font>
      <name val="Arial"/>
      <family val="2"/>
      <sz val="10"/>
    </font>
    <font>
      <name val="Arial"/>
      <family val="2"/>
      <color theme="0"/>
      <sz val="11"/>
    </font>
    <font>
      <name val="Arial"/>
      <family val="2"/>
      <i val="1"/>
      <color theme="0"/>
      <sz val="11"/>
    </font>
    <font>
      <name val="Calibri"/>
      <family val="2"/>
      <color rgb="FFFF0000"/>
      <sz val="11"/>
      <scheme val="minor"/>
    </font>
    <font>
      <name val="Arial"/>
      <family val="2"/>
      <color rgb="FFFF0000"/>
      <sz val="11"/>
    </font>
    <font>
      <name val="Arial"/>
      <family val="2"/>
      <i val="1"/>
      <color rgb="FFFF0000"/>
      <sz val="11"/>
    </font>
    <font>
      <name val="Calibri"/>
      <family val="2"/>
      <color theme="1"/>
      <sz val="10"/>
      <scheme val="minor"/>
    </font>
    <font>
      <name val="Calibri"/>
      <family val="2"/>
      <b val="1"/>
      <color theme="1"/>
      <sz val="10"/>
      <scheme val="minor"/>
    </font>
    <font>
      <name val="Arial"/>
      <family val="2"/>
      <i val="1"/>
      <color theme="0" tint="-0.1499984740745262"/>
      <sz val="11"/>
    </font>
    <font>
      <name val="Arial"/>
      <family val="2"/>
      <color theme="0" tint="-0.1499984740745262"/>
      <sz val="11"/>
    </font>
    <font>
      <name val="Arial"/>
      <family val="2"/>
      <b val="1"/>
      <color theme="0" tint="-0.1499984740745262"/>
      <sz val="11"/>
    </font>
  </fonts>
  <fills count="21">
    <fill>
      <patternFill/>
    </fill>
    <fill>
      <patternFill patternType="gray125"/>
    </fill>
    <fill>
      <patternFill patternType="solid">
        <fgColor theme="0" tint="-0.1499984740745262"/>
        <bgColor indexed="64"/>
      </patternFill>
    </fill>
    <fill>
      <patternFill patternType="solid">
        <fgColor rgb="FF823BA5"/>
        <bgColor indexed="64"/>
      </patternFill>
    </fill>
    <fill>
      <patternFill patternType="solid">
        <fgColor rgb="FFD7B8E6"/>
        <bgColor indexed="64"/>
      </patternFill>
    </fill>
    <fill>
      <patternFill patternType="solid">
        <fgColor rgb="FF21446E"/>
        <bgColor indexed="64"/>
      </patternFill>
    </fill>
    <fill>
      <patternFill patternType="solid">
        <fgColor theme="0" tint="-0.0499893185216834"/>
        <bgColor indexed="64"/>
      </patternFill>
    </fill>
    <fill>
      <patternFill patternType="solid">
        <fgColor theme="8" tint="-0.249977111117893"/>
        <bgColor indexed="64"/>
      </patternFill>
    </fill>
    <fill>
      <patternFill patternType="solid">
        <fgColor theme="0"/>
        <bgColor indexed="64"/>
      </patternFill>
    </fill>
    <fill>
      <patternFill patternType="solid">
        <fgColor rgb="FFF1E6F6"/>
        <bgColor indexed="64"/>
      </patternFill>
    </fill>
    <fill>
      <patternFill patternType="solid">
        <fgColor rgb="FFF3F6FB"/>
        <bgColor indexed="64"/>
      </patternFill>
    </fill>
    <fill>
      <patternFill patternType="solid">
        <fgColor rgb="FFCED8EE"/>
        <bgColor indexed="64"/>
      </patternFill>
    </fill>
    <fill>
      <patternFill patternType="solid">
        <fgColor theme="7" tint="0.3999755851924192"/>
        <bgColor indexed="64"/>
      </patternFill>
    </fill>
    <fill>
      <patternFill patternType="solid">
        <fgColor rgb="FF8CB0DC"/>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7" tint="0.7999816888943144"/>
        <bgColor indexed="64"/>
      </patternFill>
    </fill>
    <fill>
      <patternFill patternType="solid">
        <fgColor theme="7" tint="0.5999938962981048"/>
        <bgColor indexed="64"/>
      </patternFill>
    </fill>
  </fills>
  <borders count="6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823BA5"/>
      </left>
      <right style="thin">
        <color rgb="FF823BA5"/>
      </right>
      <top/>
      <bottom style="thin">
        <color rgb="FF823BA5"/>
      </bottom>
      <diagonal/>
    </border>
    <border>
      <left style="thin">
        <color rgb="FF823BA5"/>
      </left>
      <right/>
      <top/>
      <bottom/>
      <diagonal/>
    </border>
    <border>
      <left style="thin">
        <color theme="8" tint="-0.249977111117893"/>
      </left>
      <right style="thin">
        <color theme="8" tint="-0.249977111117893"/>
      </right>
      <top/>
      <bottom style="thin">
        <color theme="8" tint="-0.249977111117893"/>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style="thin">
        <color theme="8" tint="-0.249977111117893"/>
      </right>
      <top/>
      <bottom style="thin">
        <color theme="8" tint="-0.249977111117893"/>
      </bottom>
      <diagonal/>
    </border>
    <border>
      <left style="thin">
        <color rgb="FF823BA5"/>
      </left>
      <right style="thin">
        <color rgb="FF823BA5"/>
      </right>
      <top style="medium">
        <color theme="0"/>
      </top>
      <bottom style="medium">
        <color theme="0"/>
      </bottom>
      <diagonal/>
    </border>
    <border>
      <left style="thin">
        <color rgb="FF823BA5"/>
      </left>
      <right style="medium">
        <color theme="0"/>
      </right>
      <top style="medium">
        <color theme="0"/>
      </top>
      <bottom style="medium">
        <color theme="0"/>
      </bottom>
      <diagonal/>
    </border>
    <border>
      <left/>
      <right style="thin">
        <color rgb="FF823BA5"/>
      </right>
      <top style="medium">
        <color theme="0"/>
      </top>
      <bottom style="medium">
        <color theme="0"/>
      </bottom>
      <diagonal/>
    </border>
    <border>
      <left style="thick">
        <color theme="0"/>
      </left>
      <right style="thick">
        <color theme="0"/>
      </right>
      <top style="thick">
        <color theme="0"/>
      </top>
      <bottom style="thick">
        <color theme="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823BA5"/>
      </left>
      <right style="thin">
        <color rgb="FF823BA5"/>
      </right>
      <top style="thin">
        <color rgb="FF823BA5"/>
      </top>
      <bottom/>
      <diagonal/>
    </border>
    <border>
      <left/>
      <right style="thin">
        <color theme="8" tint="-0.249977111117893"/>
      </right>
      <top style="thin">
        <color theme="8" tint="-0.249977111117893"/>
      </top>
      <bottom/>
      <diagonal/>
    </border>
    <border>
      <left style="thin">
        <color theme="8" tint="-0.249977111117893"/>
      </left>
      <right style="thin">
        <color theme="8" tint="-0.249977111117893"/>
      </right>
      <top style="thin">
        <color theme="8" tint="-0.249977111117893"/>
      </top>
      <bottom/>
      <diagonal/>
    </border>
    <border>
      <left/>
      <right style="thin">
        <color rgb="FF823BA5"/>
      </right>
      <top/>
      <bottom/>
      <diagonal/>
    </border>
    <border>
      <left style="thin">
        <color auto="1"/>
      </left>
      <right/>
      <top style="thin">
        <color auto="1"/>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style="thin">
        <color auto="1"/>
      </top>
      <bottom/>
      <diagonal/>
    </border>
    <border>
      <left/>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thin">
        <color auto="1"/>
      </left>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thin">
        <color indexed="64"/>
      </top>
      <bottom style="medium">
        <color indexed="64"/>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indexed="64"/>
      </left>
      <right/>
      <top style="thin">
        <color indexed="64"/>
      </top>
      <bottom style="medium">
        <color indexed="64"/>
      </bottom>
      <diagonal/>
    </border>
    <border>
      <left/>
      <right style="thin">
        <color auto="1"/>
      </right>
      <top style="medium">
        <color indexed="64"/>
      </top>
      <bottom style="thin">
        <color auto="1"/>
      </bottom>
      <diagonal/>
    </border>
    <border>
      <left style="medium">
        <color theme="0"/>
      </left>
      <right style="medium">
        <color theme="0"/>
      </right>
      <top style="medium">
        <color theme="0"/>
      </top>
      <bottom style="medium">
        <color theme="0"/>
      </bottom>
      <diagonal/>
    </border>
    <border>
      <left/>
      <right/>
      <top style="medium">
        <color theme="0"/>
      </top>
      <bottom/>
      <diagonal/>
    </border>
    <border>
      <left/>
      <right style="medium">
        <color theme="0"/>
      </right>
      <top style="medium">
        <color theme="0"/>
      </top>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thin">
        <color auto="1"/>
      </bottom>
      <diagonal/>
    </border>
    <border>
      <left/>
      <right/>
      <top style="thin">
        <color auto="1"/>
      </top>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rgb="FF823BA5"/>
      </right>
      <top style="medium">
        <color theme="0"/>
      </top>
      <bottom/>
      <diagonal/>
    </border>
    <border>
      <left style="thin">
        <color auto="1"/>
      </left>
      <right/>
      <top/>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thin">
        <color auto="1"/>
      </right>
      <top style="thin">
        <color indexed="64"/>
      </top>
      <bottom style="medium">
        <color indexed="64"/>
      </bottom>
      <diagonal/>
    </border>
    <border>
      <left/>
      <right style="thin">
        <color auto="1"/>
      </right>
      <top style="thin">
        <color indexed="64"/>
      </top>
      <bottom/>
      <diagonal/>
    </border>
    <border>
      <left/>
      <right style="thin">
        <color auto="1"/>
      </right>
      <top/>
      <bottom/>
      <diagonal/>
    </border>
    <border>
      <left/>
      <right style="thin">
        <color auto="1"/>
      </right>
      <top style="thin">
        <color indexed="64"/>
      </top>
      <bottom style="thin">
        <color indexed="64"/>
      </bottom>
      <diagonal/>
    </border>
    <border>
      <left/>
      <right/>
      <top style="thin">
        <color auto="1"/>
      </top>
      <bottom style="thin">
        <color auto="1"/>
      </bottom>
      <diagonal/>
    </border>
    <border>
      <left style="thin">
        <color indexed="64"/>
      </left>
      <right style="thin">
        <color auto="1"/>
      </right>
      <top style="thin">
        <color indexed="64"/>
      </top>
      <bottom style="thin">
        <color indexed="64"/>
      </bottom>
      <diagonal/>
    </border>
    <border>
      <left style="medium">
        <color auto="1"/>
      </left>
      <right style="thin">
        <color auto="1"/>
      </right>
      <top style="medium">
        <color auto="1"/>
      </top>
      <bottom style="medium">
        <color auto="1"/>
      </bottom>
      <diagonal/>
    </border>
    <border>
      <left style="thick">
        <color theme="0"/>
      </left>
      <right/>
      <top/>
      <bottom/>
      <diagonal/>
    </border>
    <border>
      <left style="thick">
        <color theme="0"/>
      </left>
      <right style="thick">
        <color theme="0"/>
      </right>
      <top/>
      <bottom/>
      <diagonal/>
    </border>
    <border>
      <left style="thick">
        <color theme="0"/>
      </left>
      <right style="thick">
        <color theme="0"/>
      </right>
      <top/>
      <bottom style="thick">
        <color theme="0"/>
      </bottom>
      <diagonal/>
    </border>
  </borders>
  <cellStyleXfs count="3">
    <xf numFmtId="0" fontId="0" fillId="0" borderId="0"/>
    <xf numFmtId="0" fontId="14" fillId="0" borderId="0"/>
    <xf numFmtId="0" fontId="15" fillId="0" borderId="0"/>
  </cellStyleXfs>
  <cellXfs count="190">
    <xf numFmtId="0" fontId="0" fillId="0" borderId="0" pivotButton="0" quotePrefix="0" xfId="0"/>
    <xf numFmtId="0" fontId="2" fillId="0" borderId="0" pivotButton="0" quotePrefix="0" xfId="0"/>
    <xf numFmtId="0" fontId="2" fillId="5" borderId="0" pivotButton="0" quotePrefix="0" xfId="0"/>
    <xf numFmtId="0" fontId="2" fillId="3" borderId="0" pivotButton="0" quotePrefix="0" xfId="0"/>
    <xf numFmtId="0" fontId="2" fillId="0" borderId="0" pivotButton="0" quotePrefix="0" xfId="0"/>
    <xf numFmtId="0" fontId="4" fillId="5" borderId="0" pivotButton="0" quotePrefix="0" xfId="0"/>
    <xf numFmtId="0" fontId="4" fillId="3" borderId="0" pivotButton="0" quotePrefix="0" xfId="0"/>
    <xf numFmtId="0" fontId="4" fillId="0" borderId="0" pivotButton="0" quotePrefix="0" xfId="0"/>
    <xf numFmtId="0" fontId="4" fillId="0" borderId="0" pivotButton="0" quotePrefix="0" xfId="0"/>
    <xf numFmtId="0" fontId="5" fillId="4" borderId="3" applyAlignment="1" pivotButton="0" quotePrefix="0" xfId="0">
      <alignment horizontal="center" wrapText="1"/>
    </xf>
    <xf numFmtId="0" fontId="2" fillId="0" borderId="4" pivotButton="0" quotePrefix="0" xfId="0"/>
    <xf numFmtId="0" fontId="2" fillId="0" borderId="0" applyAlignment="1" pivotButton="0" quotePrefix="0" xfId="0">
      <alignment horizontal="center" vertical="center" wrapText="1"/>
    </xf>
    <xf numFmtId="0" fontId="9" fillId="0" borderId="0" pivotButton="0" quotePrefix="0" xfId="0"/>
    <xf numFmtId="0" fontId="3" fillId="0" borderId="0" applyAlignment="1" pivotButton="0" quotePrefix="0" xfId="0">
      <alignment wrapText="1"/>
    </xf>
    <xf numFmtId="0" fontId="2" fillId="8" borderId="0" pivotButton="0" quotePrefix="0" xfId="0"/>
    <xf numFmtId="0" fontId="4" fillId="8" borderId="0" pivotButton="0" quotePrefix="0" xfId="0"/>
    <xf numFmtId="0" fontId="4" fillId="8" borderId="0" pivotButton="0" quotePrefix="0" xfId="0"/>
    <xf numFmtId="0" fontId="2" fillId="8" borderId="0" pivotButton="0" quotePrefix="0" xfId="0"/>
    <xf numFmtId="0" fontId="5" fillId="11" borderId="9" applyAlignment="1" pivotButton="0" quotePrefix="0" xfId="0">
      <alignment horizontal="center" wrapText="1"/>
    </xf>
    <xf numFmtId="0" fontId="5" fillId="11" borderId="5" applyAlignment="1" pivotButton="0" quotePrefix="0" xfId="0">
      <alignment horizontal="center" wrapText="1"/>
    </xf>
    <xf numFmtId="0" fontId="2" fillId="0" borderId="0" applyAlignment="1" pivotButton="0" quotePrefix="0" xfId="0">
      <alignment horizontal="left" vertical="top" wrapText="1"/>
    </xf>
    <xf numFmtId="0" fontId="8" fillId="9" borderId="20" applyAlignment="1" pivotButton="0" quotePrefix="0" xfId="0">
      <alignment horizontal="left" vertical="top" wrapText="1"/>
    </xf>
    <xf numFmtId="0" fontId="8" fillId="10" borderId="21" applyAlignment="1" pivotButton="0" quotePrefix="0" xfId="0">
      <alignment horizontal="left" vertical="top" wrapText="1"/>
    </xf>
    <xf numFmtId="0" fontId="8" fillId="10" borderId="22" applyAlignment="1" pivotButton="0" quotePrefix="0" xfId="0">
      <alignment horizontal="left" vertical="top" wrapText="1"/>
    </xf>
    <xf numFmtId="0" fontId="4" fillId="8" borderId="15" applyAlignment="1" pivotButton="0" quotePrefix="0" xfId="0">
      <alignment horizontal="center" vertical="center"/>
    </xf>
    <xf numFmtId="0" fontId="4" fillId="8" borderId="16" applyAlignment="1" pivotButton="0" quotePrefix="0" xfId="0">
      <alignment horizontal="center" vertical="center"/>
    </xf>
    <xf numFmtId="0" fontId="4" fillId="8" borderId="18" applyAlignment="1" pivotButton="0" quotePrefix="0" xfId="0">
      <alignment horizontal="center" vertical="center" wrapText="1"/>
    </xf>
    <xf numFmtId="0" fontId="4" fillId="8" borderId="19" applyAlignment="1" pivotButton="0" quotePrefix="0" xfId="0">
      <alignment horizontal="center" vertical="center" wrapText="1"/>
    </xf>
    <xf numFmtId="0" fontId="11" fillId="13" borderId="15" applyAlignment="1" pivotButton="0" quotePrefix="0" xfId="0">
      <alignment horizontal="center" vertical="center" wrapText="1"/>
    </xf>
    <xf numFmtId="0" fontId="4" fillId="8" borderId="18" applyAlignment="1" pivotButton="0" quotePrefix="0" xfId="0">
      <alignment horizontal="center" vertical="center"/>
    </xf>
    <xf numFmtId="0" fontId="4" fillId="8" borderId="19" applyAlignment="1" pivotButton="0" quotePrefix="0" xfId="0">
      <alignment horizontal="center" vertical="center"/>
    </xf>
    <xf numFmtId="49" fontId="0" fillId="0" borderId="24" applyAlignment="1" pivotButton="0" quotePrefix="0" xfId="0">
      <alignment horizontal="center" vertical="center"/>
    </xf>
    <xf numFmtId="0" fontId="12" fillId="20" borderId="0" applyAlignment="1" pivotButton="0" quotePrefix="0" xfId="0">
      <alignment horizontal="center" wrapText="1"/>
    </xf>
    <xf numFmtId="0" fontId="12" fillId="20" borderId="0" applyAlignment="1" pivotButton="0" quotePrefix="0" xfId="0">
      <alignment horizontal="center" wrapText="1"/>
    </xf>
    <xf numFmtId="0" fontId="16" fillId="8" borderId="0" pivotButton="0" quotePrefix="0" xfId="0"/>
    <xf numFmtId="0" fontId="16" fillId="0" borderId="0" pivotButton="0" quotePrefix="0" xfId="0"/>
    <xf numFmtId="0" fontId="17" fillId="0" borderId="0" applyAlignment="1" pivotButton="0" quotePrefix="0" xfId="0">
      <alignment horizontal="left" vertical="top"/>
    </xf>
    <xf numFmtId="0" fontId="0" fillId="5" borderId="0" pivotButton="0" quotePrefix="0" xfId="0"/>
    <xf numFmtId="0" fontId="2" fillId="0" borderId="0" applyAlignment="1" pivotButton="0" quotePrefix="0" xfId="0">
      <alignment vertical="top" wrapText="1"/>
    </xf>
    <xf numFmtId="49" fontId="0" fillId="0" borderId="25" applyAlignment="1" pivotButton="0" quotePrefix="0" xfId="0">
      <alignment horizontal="center" vertical="center"/>
    </xf>
    <xf numFmtId="0" fontId="4" fillId="0" borderId="0" pivotButton="0" quotePrefix="0" xfId="0"/>
    <xf numFmtId="0" fontId="18" fillId="5" borderId="0" applyAlignment="1" pivotButton="0" quotePrefix="0" xfId="0">
      <alignment horizontal="left" vertical="center" indent="9"/>
    </xf>
    <xf numFmtId="0" fontId="18" fillId="5" borderId="0" applyAlignment="1" pivotButton="0" quotePrefix="0" xfId="0">
      <alignment horizontal="left" vertical="center" indent="10"/>
    </xf>
    <xf numFmtId="0" fontId="18" fillId="5" borderId="0" applyAlignment="1" pivotButton="0" quotePrefix="0" xfId="0">
      <alignment horizontal="left" vertical="center" indent="11"/>
    </xf>
    <xf numFmtId="0" fontId="19" fillId="3" borderId="0" pivotButton="0" quotePrefix="0" xfId="0"/>
    <xf numFmtId="0" fontId="20" fillId="13" borderId="15" applyAlignment="1" pivotButton="0" quotePrefix="0" xfId="0">
      <alignment horizontal="center" vertical="center" wrapText="1"/>
    </xf>
    <xf numFmtId="0" fontId="20" fillId="13" borderId="18" applyAlignment="1" pivotButton="0" quotePrefix="0" xfId="0">
      <alignment horizontal="center" vertical="center" wrapText="1"/>
    </xf>
    <xf numFmtId="0" fontId="20" fillId="6" borderId="15" applyAlignment="1" pivotButton="0" quotePrefix="0" xfId="0">
      <alignment horizontal="center" vertical="center" wrapText="1"/>
    </xf>
    <xf numFmtId="0" fontId="20" fillId="6" borderId="18" applyAlignment="1" pivotButton="0" quotePrefix="0" xfId="0">
      <alignment horizontal="center" vertical="center" wrapText="1"/>
    </xf>
    <xf numFmtId="0" fontId="20" fillId="8" borderId="0" applyAlignment="1" pivotButton="0" quotePrefix="0" xfId="0">
      <alignment horizontal="center" vertical="center"/>
    </xf>
    <xf numFmtId="0" fontId="20" fillId="0" borderId="0" applyAlignment="1" pivotButton="0" quotePrefix="0" xfId="0">
      <alignment horizontal="center" vertical="center"/>
    </xf>
    <xf numFmtId="0" fontId="21" fillId="0" borderId="0" pivotButton="0" quotePrefix="0" xfId="0"/>
    <xf numFmtId="0" fontId="19" fillId="0" borderId="0" pivotButton="0" quotePrefix="0" xfId="0"/>
    <xf numFmtId="0" fontId="2" fillId="0" borderId="0" applyAlignment="1" pivotButton="0" quotePrefix="0" xfId="0">
      <alignment horizontal="left" vertical="top" wrapText="1"/>
    </xf>
    <xf numFmtId="0" fontId="5" fillId="8" borderId="0" applyAlignment="1" pivotButton="0" quotePrefix="0" xfId="0">
      <alignment horizontal="center" vertical="center"/>
    </xf>
    <xf numFmtId="0" fontId="5" fillId="0" borderId="0" applyAlignment="1" pivotButton="0" quotePrefix="0" xfId="0">
      <alignment horizontal="center" vertical="center"/>
    </xf>
    <xf numFmtId="0" fontId="24" fillId="0" borderId="0" applyAlignment="1" pivotButton="0" quotePrefix="0" xfId="0">
      <alignment vertical="center" wrapText="1"/>
    </xf>
    <xf numFmtId="49" fontId="0" fillId="0" borderId="0" applyAlignment="1" pivotButton="0" quotePrefix="0" xfId="0">
      <alignment horizontal="center" vertical="center"/>
    </xf>
    <xf numFmtId="0" fontId="0" fillId="0" borderId="0" pivotButton="0" quotePrefix="0" xfId="0"/>
    <xf numFmtId="0" fontId="0" fillId="0" borderId="0" pivotButton="0" quotePrefix="0" xfId="0"/>
    <xf numFmtId="0" fontId="25" fillId="0" borderId="0" pivotButton="0" quotePrefix="0" xfId="0"/>
    <xf numFmtId="0" fontId="25" fillId="0" borderId="0" pivotButton="0" quotePrefix="0" xfId="0"/>
    <xf numFmtId="0" fontId="22" fillId="0" borderId="0" pivotButton="0" quotePrefix="0" xfId="0"/>
    <xf numFmtId="0" fontId="26" fillId="0" borderId="0" pivotButton="0" quotePrefix="0" xfId="0"/>
    <xf numFmtId="0" fontId="25" fillId="8" borderId="0" pivotButton="0" quotePrefix="0" xfId="0"/>
    <xf numFmtId="0" fontId="12" fillId="0" borderId="0" applyAlignment="1" pivotButton="0" quotePrefix="0" xfId="0">
      <alignment wrapText="1"/>
    </xf>
    <xf numFmtId="0" fontId="2" fillId="0" borderId="0" applyAlignment="1" pivotButton="0" quotePrefix="0" xfId="0">
      <alignment horizontal="left" vertical="top" wrapText="1" indent="1"/>
    </xf>
    <xf numFmtId="0" fontId="12" fillId="0" borderId="0" pivotButton="0" quotePrefix="0" xfId="0"/>
    <xf numFmtId="0" fontId="4" fillId="0" borderId="0" applyAlignment="1" pivotButton="0" quotePrefix="0" xfId="0">
      <alignment vertical="top" wrapText="1"/>
    </xf>
    <xf numFmtId="0" fontId="5" fillId="14" borderId="24" applyAlignment="1" pivotButton="0" quotePrefix="0" xfId="0">
      <alignment vertical="center"/>
    </xf>
    <xf numFmtId="0" fontId="5" fillId="14" borderId="25" applyAlignment="1" pivotButton="0" quotePrefix="0" xfId="0">
      <alignment horizontal="center" vertical="center"/>
    </xf>
    <xf numFmtId="0" fontId="5" fillId="14" borderId="28" applyAlignment="1" pivotButton="0" quotePrefix="0" xfId="0">
      <alignment horizontal="center" vertical="center"/>
    </xf>
    <xf numFmtId="0" fontId="5" fillId="15" borderId="31" applyAlignment="1" pivotButton="0" quotePrefix="0" xfId="0">
      <alignment horizontal="center" vertical="center"/>
    </xf>
    <xf numFmtId="0" fontId="23" fillId="0" borderId="14" applyAlignment="1" pivotButton="0" quotePrefix="0" xfId="0">
      <alignment vertical="center" wrapText="1"/>
    </xf>
    <xf numFmtId="49" fontId="0" fillId="0" borderId="32" applyAlignment="1" pivotButton="0" quotePrefix="0" xfId="0">
      <alignment horizontal="center" vertical="center"/>
    </xf>
    <xf numFmtId="0" fontId="17" fillId="0" borderId="33" applyAlignment="1" pivotButton="0" quotePrefix="0" xfId="0">
      <alignment horizontal="left" vertical="top" wrapText="1"/>
    </xf>
    <xf numFmtId="0" fontId="17" fillId="0" borderId="34" applyAlignment="1" pivotButton="0" quotePrefix="0" xfId="0">
      <alignment horizontal="left" vertical="top" wrapText="1"/>
    </xf>
    <xf numFmtId="49" fontId="0" fillId="0" borderId="35" applyAlignment="1" pivotButton="0" quotePrefix="0" xfId="0">
      <alignment horizontal="center" vertical="center"/>
    </xf>
    <xf numFmtId="0" fontId="24" fillId="0" borderId="36" applyAlignment="1" pivotButton="0" quotePrefix="0" xfId="0">
      <alignment vertical="center" wrapText="1"/>
    </xf>
    <xf numFmtId="0" fontId="24" fillId="0" borderId="17" applyAlignment="1" pivotButton="0" quotePrefix="0" xfId="0">
      <alignment vertical="center" wrapText="1"/>
    </xf>
    <xf numFmtId="49" fontId="0" fillId="0" borderId="38" applyAlignment="1" pivotButton="0" quotePrefix="0" xfId="0">
      <alignment horizontal="center" vertical="center"/>
    </xf>
    <xf numFmtId="0" fontId="0" fillId="0" borderId="39" pivotButton="0" quotePrefix="0" xfId="0"/>
    <xf numFmtId="49" fontId="0" fillId="0" borderId="42" applyAlignment="1" pivotButton="0" quotePrefix="0" xfId="0">
      <alignment horizontal="center" vertical="center"/>
    </xf>
    <xf numFmtId="0" fontId="4" fillId="8" borderId="0" applyAlignment="1" pivotButton="0" quotePrefix="0" xfId="0">
      <alignment horizontal="center" vertical="center"/>
    </xf>
    <xf numFmtId="0" fontId="4" fillId="0" borderId="0" applyAlignment="1" pivotButton="0" quotePrefix="0" xfId="0">
      <alignment horizontal="center" vertical="center"/>
    </xf>
    <xf numFmtId="0" fontId="4" fillId="8" borderId="15" applyAlignment="1" pivotButton="0" quotePrefix="0" xfId="0">
      <alignment horizontal="center" vertical="center" wrapText="1"/>
    </xf>
    <xf numFmtId="0" fontId="4" fillId="8" borderId="15" applyAlignment="1" pivotButton="0" quotePrefix="0" xfId="0">
      <alignment horizontal="center" vertical="center" wrapText="1"/>
    </xf>
    <xf numFmtId="0" fontId="28" fillId="0" borderId="0" pivotButton="0" quotePrefix="0" xfId="0"/>
    <xf numFmtId="0" fontId="28" fillId="0" borderId="0" pivotButton="0" quotePrefix="0" xfId="0"/>
    <xf numFmtId="0" fontId="28" fillId="0" borderId="0" pivotButton="0" quotePrefix="0" xfId="0"/>
    <xf numFmtId="0" fontId="27" fillId="0" borderId="0" pivotButton="0" quotePrefix="0" xfId="0"/>
    <xf numFmtId="0" fontId="27" fillId="0" borderId="0" pivotButton="0" quotePrefix="0" xfId="0"/>
    <xf numFmtId="0" fontId="27" fillId="0" borderId="0" pivotButton="0" quotePrefix="0" xfId="0"/>
    <xf numFmtId="0" fontId="29" fillId="0" borderId="0" pivotButton="0" quotePrefix="0" xfId="0"/>
    <xf numFmtId="0" fontId="28" fillId="8" borderId="0" pivotButton="0" quotePrefix="0" xfId="0"/>
    <xf numFmtId="0" fontId="4" fillId="8" borderId="0" applyAlignment="1" pivotButton="0" quotePrefix="0" xfId="0">
      <alignment horizontal="center" vertical="center"/>
    </xf>
    <xf numFmtId="0" fontId="4" fillId="0" borderId="0" applyAlignment="1" pivotButton="0" quotePrefix="0" xfId="0">
      <alignment horizontal="center" vertical="center"/>
    </xf>
    <xf numFmtId="0" fontId="4" fillId="8" borderId="16" applyAlignment="1" pivotButton="0" quotePrefix="0" xfId="0">
      <alignment horizontal="center" vertical="center" wrapText="1"/>
    </xf>
    <xf numFmtId="0" fontId="17" fillId="0" borderId="0" applyAlignment="1" pivotButton="0" quotePrefix="0" xfId="0">
      <alignment horizontal="left" vertical="top"/>
    </xf>
    <xf numFmtId="0" fontId="17" fillId="0" borderId="34" applyAlignment="1" pivotButton="0" quotePrefix="0" xfId="0">
      <alignment horizontal="left" vertical="top"/>
    </xf>
    <xf numFmtId="0" fontId="17" fillId="0" borderId="0" applyAlignment="1" pivotButton="0" quotePrefix="0" xfId="0">
      <alignment horizontal="left"/>
    </xf>
    <xf numFmtId="0" fontId="17" fillId="0" borderId="43" applyAlignment="1" pivotButton="0" quotePrefix="0" xfId="0">
      <alignment horizontal="left" vertical="top"/>
    </xf>
    <xf numFmtId="0" fontId="5" fillId="15" borderId="31" applyAlignment="1" pivotButton="0" quotePrefix="0" xfId="0">
      <alignment horizontal="center" vertical="center" wrapText="1"/>
    </xf>
    <xf numFmtId="0" fontId="5" fillId="14" borderId="31" applyAlignment="1" pivotButton="0" quotePrefix="0" xfId="0">
      <alignment horizontal="center" vertical="center" wrapText="1"/>
    </xf>
    <xf numFmtId="0" fontId="17" fillId="0" borderId="0" pivotButton="0" quotePrefix="0" xfId="0"/>
    <xf numFmtId="0" fontId="30" fillId="0" borderId="32" applyAlignment="1" pivotButton="0" quotePrefix="0" xfId="0">
      <alignment horizontal="left" vertical="center"/>
    </xf>
    <xf numFmtId="0" fontId="30" fillId="0" borderId="15" applyAlignment="1" pivotButton="0" quotePrefix="0" xfId="0">
      <alignment horizontal="left" vertical="center"/>
    </xf>
    <xf numFmtId="0" fontId="30" fillId="0" borderId="25" applyAlignment="1" pivotButton="0" quotePrefix="0" xfId="0">
      <alignment horizontal="left" vertical="center"/>
    </xf>
    <xf numFmtId="0" fontId="30" fillId="0" borderId="1" applyAlignment="1" pivotButton="0" quotePrefix="0" xfId="0">
      <alignment horizontal="left" vertical="center"/>
    </xf>
    <xf numFmtId="0" fontId="30" fillId="0" borderId="38" applyAlignment="1" pivotButton="0" quotePrefix="0" xfId="0">
      <alignment horizontal="left" vertical="center"/>
    </xf>
    <xf numFmtId="0" fontId="30" fillId="0" borderId="18" applyAlignment="1" pivotButton="0" quotePrefix="0" xfId="0">
      <alignment horizontal="left" vertical="center"/>
    </xf>
    <xf numFmtId="0" fontId="30" fillId="0" borderId="0" applyAlignment="1" pivotButton="0" quotePrefix="0" xfId="0">
      <alignment horizontal="left" vertical="center"/>
    </xf>
    <xf numFmtId="0" fontId="30" fillId="0" borderId="0" applyAlignment="1" pivotButton="0" quotePrefix="0" xfId="0">
      <alignment horizontal="left" vertical="center"/>
    </xf>
    <xf numFmtId="0" fontId="30" fillId="0" borderId="0" pivotButton="0" quotePrefix="0" xfId="0"/>
    <xf numFmtId="0" fontId="31" fillId="0" borderId="15" applyAlignment="1" pivotButton="0" quotePrefix="0" xfId="0">
      <alignment horizontal="left" vertical="center" wrapText="1"/>
    </xf>
    <xf numFmtId="0" fontId="31" fillId="0" borderId="1" applyAlignment="1" pivotButton="0" quotePrefix="0" xfId="0">
      <alignment horizontal="left" vertical="center" wrapText="1"/>
    </xf>
    <xf numFmtId="0" fontId="31" fillId="0" borderId="18" applyAlignment="1" pivotButton="0" quotePrefix="0" xfId="0">
      <alignment horizontal="left" vertical="center" wrapText="1"/>
    </xf>
    <xf numFmtId="0" fontId="31" fillId="0" borderId="0" applyAlignment="1" pivotButton="0" quotePrefix="0" xfId="0">
      <alignment horizontal="left" vertical="center" wrapText="1"/>
    </xf>
    <xf numFmtId="0" fontId="32" fillId="0" borderId="0" pivotButton="0" quotePrefix="0" xfId="0"/>
    <xf numFmtId="0" fontId="33" fillId="0" borderId="0" pivotButton="0" quotePrefix="0" xfId="0"/>
    <xf numFmtId="0" fontId="34" fillId="0" borderId="0" pivotButton="0" quotePrefix="0" xfId="0"/>
    <xf numFmtId="0" fontId="32" fillId="0" borderId="0" pivotButton="0" quotePrefix="0" xfId="0"/>
    <xf numFmtId="0" fontId="33" fillId="0" borderId="0" pivotButton="0" quotePrefix="0" xfId="0"/>
    <xf numFmtId="0" fontId="33" fillId="8" borderId="0" pivotButton="0" quotePrefix="0" xfId="0"/>
    <xf numFmtId="0" fontId="12" fillId="0" borderId="0" applyAlignment="1" pivotButton="0" quotePrefix="0" xfId="0">
      <alignment vertical="top" wrapText="1"/>
    </xf>
    <xf numFmtId="0" fontId="7" fillId="7" borderId="6" applyAlignment="1" pivotButton="0" quotePrefix="0" xfId="0">
      <alignment horizontal="center"/>
    </xf>
    <xf numFmtId="0" fontId="7" fillId="7" borderId="7" applyAlignment="1" pivotButton="0" quotePrefix="0" xfId="0">
      <alignment horizontal="center"/>
    </xf>
    <xf numFmtId="0" fontId="7" fillId="7" borderId="8" applyAlignment="1" pivotButton="0" quotePrefix="0" xfId="0">
      <alignment horizontal="center"/>
    </xf>
    <xf numFmtId="0" fontId="2" fillId="0" borderId="0" applyAlignment="1" pivotButton="0" quotePrefix="0" xfId="0">
      <alignment horizontal="left" vertical="top" wrapText="1"/>
    </xf>
    <xf numFmtId="0" fontId="6" fillId="0" borderId="0" applyAlignment="1" pivotButton="0" quotePrefix="0" xfId="0">
      <alignment horizontal="left" wrapText="1"/>
    </xf>
    <xf numFmtId="0" fontId="6" fillId="0" borderId="23" applyAlignment="1" pivotButton="0" quotePrefix="0" xfId="0">
      <alignment horizontal="left" wrapText="1"/>
    </xf>
    <xf numFmtId="0" fontId="10" fillId="5" borderId="14" applyAlignment="1" pivotButton="0" quotePrefix="0" xfId="0">
      <alignment horizontal="center" vertical="center"/>
    </xf>
    <xf numFmtId="0" fontId="10" fillId="5" borderId="17" applyAlignment="1" pivotButton="0" quotePrefix="0" xfId="0">
      <alignment horizontal="center" vertical="center"/>
    </xf>
    <xf numFmtId="0" fontId="4" fillId="12" borderId="18" applyAlignment="1" pivotButton="0" quotePrefix="0" xfId="0">
      <alignment horizontal="center" vertical="center"/>
    </xf>
    <xf numFmtId="0" fontId="7" fillId="3" borderId="12" applyAlignment="1" pivotButton="0" quotePrefix="0" xfId="0">
      <alignment horizontal="center" vertical="center" wrapText="1"/>
    </xf>
    <xf numFmtId="0" fontId="7" fillId="3" borderId="10" applyAlignment="1" pivotButton="0" quotePrefix="0" xfId="0">
      <alignment horizontal="center" vertical="center" wrapText="1"/>
    </xf>
    <xf numFmtId="0" fontId="7" fillId="3" borderId="11" applyAlignment="1" pivotButton="0" quotePrefix="0" xfId="0">
      <alignment horizontal="center" vertical="center" wrapText="1"/>
    </xf>
    <xf numFmtId="0" fontId="17" fillId="0" borderId="16" applyAlignment="1" pivotButton="0" quotePrefix="0" xfId="0">
      <alignment horizontal="left" vertical="top"/>
    </xf>
    <xf numFmtId="0" fontId="17" fillId="0" borderId="37" applyAlignment="1" pivotButton="0" quotePrefix="0" xfId="0">
      <alignment horizontal="left" vertical="top"/>
    </xf>
    <xf numFmtId="0" fontId="17" fillId="0" borderId="19" applyAlignment="1" pivotButton="0" quotePrefix="0" xfId="0">
      <alignment horizontal="left" vertical="top"/>
    </xf>
    <xf numFmtId="0" fontId="17" fillId="0" borderId="25" applyAlignment="1" pivotButton="0" quotePrefix="0" xfId="0">
      <alignment horizontal="left" vertical="top"/>
    </xf>
    <xf numFmtId="0" fontId="17" fillId="0" borderId="28" applyAlignment="1" pivotButton="0" quotePrefix="0" xfId="0">
      <alignment horizontal="left" vertical="top"/>
    </xf>
    <xf numFmtId="0" fontId="17" fillId="0" borderId="40" applyAlignment="1" pivotButton="0" quotePrefix="0" xfId="0">
      <alignment horizontal="left" vertical="top"/>
    </xf>
    <xf numFmtId="0" fontId="17" fillId="0" borderId="41" applyAlignment="1" pivotButton="0" quotePrefix="0" xfId="0">
      <alignment horizontal="left" vertical="top"/>
    </xf>
    <xf numFmtId="0" fontId="12" fillId="17" borderId="26" applyAlignment="1" pivotButton="0" quotePrefix="0" xfId="0">
      <alignment horizontal="center" vertical="center" wrapText="1"/>
    </xf>
    <xf numFmtId="0" fontId="12" fillId="17" borderId="2" applyAlignment="1" pivotButton="0" quotePrefix="0" xfId="0">
      <alignment horizontal="center" vertical="center" wrapText="1"/>
    </xf>
    <xf numFmtId="0" fontId="2" fillId="0" borderId="0" applyAlignment="1" pivotButton="0" quotePrefix="0" xfId="0">
      <alignment horizontal="left" vertical="top" wrapText="1"/>
    </xf>
    <xf numFmtId="0" fontId="1" fillId="16" borderId="1" applyAlignment="1" pivotButton="0" quotePrefix="0" xfId="0">
      <alignment horizontal="center" vertical="center"/>
    </xf>
    <xf numFmtId="0" fontId="5" fillId="14" borderId="24" applyAlignment="1" pivotButton="0" quotePrefix="0" xfId="0">
      <alignment horizontal="center" vertical="center" wrapText="1"/>
    </xf>
    <xf numFmtId="0" fontId="5" fillId="14" borderId="28" applyAlignment="1" pivotButton="0" quotePrefix="0" xfId="0">
      <alignment horizontal="center" vertical="center" wrapText="1"/>
    </xf>
    <xf numFmtId="0" fontId="5" fillId="15" borderId="24" applyAlignment="1" pivotButton="0" quotePrefix="0" xfId="0">
      <alignment horizontal="center" vertical="center" wrapText="1"/>
    </xf>
    <xf numFmtId="0" fontId="5" fillId="15" borderId="28" applyAlignment="1" pivotButton="0" quotePrefix="0" xfId="0">
      <alignment horizontal="center" vertical="center" wrapText="1"/>
    </xf>
    <xf numFmtId="0" fontId="12" fillId="17" borderId="27" applyAlignment="1" pivotButton="0" quotePrefix="0" xfId="0">
      <alignment horizontal="center" vertical="center" wrapText="1"/>
    </xf>
    <xf numFmtId="0" fontId="23" fillId="2" borderId="29" applyAlignment="1" pivotButton="0" quotePrefix="0" xfId="0">
      <alignment horizontal="center" vertical="center" wrapText="1"/>
    </xf>
    <xf numFmtId="0" fontId="23" fillId="2" borderId="30" applyAlignment="1" pivotButton="0" quotePrefix="0" xfId="0">
      <alignment horizontal="center" vertical="center" wrapText="1"/>
    </xf>
    <xf numFmtId="0" fontId="16" fillId="12" borderId="13" applyAlignment="1" pivotButton="0" quotePrefix="0" xfId="0">
      <alignment horizontal="center" vertical="center" wrapText="1"/>
    </xf>
    <xf numFmtId="0" fontId="13" fillId="12" borderId="13" applyAlignment="1" pivotButton="0" quotePrefix="0" xfId="0">
      <alignment horizontal="center" vertical="center" wrapText="1"/>
    </xf>
    <xf numFmtId="0" fontId="23" fillId="0" borderId="29" applyAlignment="1" pivotButton="0" quotePrefix="0" xfId="0">
      <alignment horizontal="center" vertical="center" wrapText="1"/>
    </xf>
    <xf numFmtId="0" fontId="23" fillId="0" borderId="30" applyAlignment="1" pivotButton="0" quotePrefix="0" xfId="0">
      <alignment horizontal="center" vertical="center" wrapText="1"/>
    </xf>
    <xf numFmtId="0" fontId="33" fillId="0" borderId="0" applyAlignment="1" pivotButton="0" quotePrefix="0" xfId="0">
      <alignment horizontal="center" wrapText="1"/>
    </xf>
    <xf numFmtId="0" fontId="4" fillId="19" borderId="0" applyAlignment="1" pivotButton="0" quotePrefix="0" xfId="0">
      <alignment horizontal="center" wrapText="1"/>
    </xf>
    <xf numFmtId="0" fontId="12" fillId="18" borderId="0" applyAlignment="1" pivotButton="0" quotePrefix="0" xfId="0">
      <alignment horizontal="center" vertical="center"/>
    </xf>
    <xf numFmtId="0" fontId="18" fillId="5" borderId="0" applyAlignment="1" pivotButton="0" quotePrefix="0" xfId="0">
      <alignment horizontal="center" vertical="center"/>
    </xf>
    <xf numFmtId="0" fontId="2" fillId="0" borderId="40" applyAlignment="1" pivotButton="0" quotePrefix="0" xfId="0">
      <alignment horizontal="left" vertical="top" wrapText="1"/>
    </xf>
    <xf numFmtId="0" fontId="0" fillId="0" borderId="7" pivotButton="0" quotePrefix="0" xfId="0"/>
    <xf numFmtId="0" fontId="0" fillId="0" borderId="12" pivotButton="0" quotePrefix="0" xfId="0"/>
    <xf numFmtId="0" fontId="7" fillId="7" borderId="44" applyAlignment="1" pivotButton="0" quotePrefix="0" xfId="0">
      <alignment horizontal="center"/>
    </xf>
    <xf numFmtId="0" fontId="0" fillId="0" borderId="8" pivotButton="0" quotePrefix="0" xfId="0"/>
    <xf numFmtId="0" fontId="0" fillId="0" borderId="23" pivotButton="0" quotePrefix="0" xfId="0"/>
    <xf numFmtId="0" fontId="0" fillId="0" borderId="49" pivotButton="0" quotePrefix="0" xfId="0"/>
    <xf numFmtId="0" fontId="0" fillId="0" borderId="51" pivotButton="0" quotePrefix="0" xfId="0"/>
    <xf numFmtId="0" fontId="0" fillId="0" borderId="52" pivotButton="0" quotePrefix="0" xfId="0"/>
    <xf numFmtId="0" fontId="12" fillId="17" borderId="60" applyAlignment="1" pivotButton="0" quotePrefix="0" xfId="0">
      <alignment horizontal="center" vertical="center" wrapText="1"/>
    </xf>
    <xf numFmtId="0" fontId="0" fillId="0" borderId="26" pivotButton="0" quotePrefix="0" xfId="0"/>
    <xf numFmtId="0" fontId="0" fillId="0" borderId="60" pivotButton="0" quotePrefix="0" xfId="0"/>
    <xf numFmtId="0" fontId="12" fillId="17" borderId="62" applyAlignment="1" pivotButton="0" quotePrefix="0" xfId="0">
      <alignment horizontal="center" vertical="center" wrapText="1"/>
    </xf>
    <xf numFmtId="0" fontId="0" fillId="0" borderId="61" pivotButton="0" quotePrefix="0" xfId="0"/>
    <xf numFmtId="0" fontId="0" fillId="0" borderId="2" pivotButton="0" quotePrefix="0" xfId="0"/>
    <xf numFmtId="0" fontId="0" fillId="0" borderId="28" pivotButton="0" quotePrefix="0" xfId="0"/>
    <xf numFmtId="0" fontId="17" fillId="0" borderId="57" applyAlignment="1" pivotButton="0" quotePrefix="0" xfId="0">
      <alignment horizontal="left" vertical="top"/>
    </xf>
    <xf numFmtId="0" fontId="0" fillId="0" borderId="25" pivotButton="0" quotePrefix="0" xfId="0"/>
    <xf numFmtId="0" fontId="0" fillId="0" borderId="58" pivotButton="0" quotePrefix="0" xfId="0"/>
    <xf numFmtId="0" fontId="0" fillId="0" borderId="55" pivotButton="0" quotePrefix="0" xfId="0"/>
    <xf numFmtId="0" fontId="0" fillId="0" borderId="40" pivotButton="0" quotePrefix="0" xfId="0"/>
    <xf numFmtId="0" fontId="0" fillId="0" borderId="41" pivotButton="0" quotePrefix="0" xfId="0"/>
    <xf numFmtId="0" fontId="0" fillId="0" borderId="56" pivotButton="0" quotePrefix="0" xfId="0"/>
    <xf numFmtId="0" fontId="23" fillId="0" borderId="63" applyAlignment="1" pivotButton="0" quotePrefix="0" xfId="0">
      <alignment horizontal="center" vertical="center" wrapText="1"/>
    </xf>
    <xf numFmtId="0" fontId="0" fillId="0" borderId="30" pivotButton="0" quotePrefix="0" xfId="0"/>
    <xf numFmtId="0" fontId="0" fillId="0" borderId="66" pivotButton="0" quotePrefix="0" xfId="0"/>
    <xf numFmtId="0" fontId="23" fillId="2" borderId="63" applyAlignment="1" pivotButton="0" quotePrefix="0" xfId="0">
      <alignment horizontal="center" vertical="center" wrapText="1"/>
    </xf>
  </cellXfs>
  <cellStyles count="3">
    <cellStyle name="Normal" xfId="0" builtinId="0"/>
    <cellStyle name="Hyperlink" xfId="1" builtinId="8" hidden="1"/>
    <cellStyle name="Followed Hyperlink" xfId="2" builtinId="9" hidden="1"/>
  </cellStyles>
  <dxfs count="6151">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ont>
        <color theme="0"/>
      </font>
    </dxf>
    <dxf>
      <fill>
        <patternFill>
          <bgColor theme="7" tint="0.3999450666829432"/>
        </patternFill>
      </fill>
    </dxf>
    <dxf>
      <font>
        <color theme="0"/>
      </font>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ill>
        <patternFill>
          <bgColor theme="9" tint="0.3999450666829432"/>
        </patternFill>
      </fill>
    </dxf>
    <dxf>
      <fill>
        <patternFill>
          <bgColor rgb="FFC66762"/>
        </patternFill>
      </fill>
    </dxf>
    <dxf>
      <fill>
        <patternFill>
          <bgColor theme="9" tint="0.5999633777886288"/>
        </patternFill>
      </fill>
    </dxf>
    <dxf>
      <fill>
        <patternFill>
          <bgColor theme="9" tint="0.3999450666829432"/>
        </patternFill>
      </fill>
    </dxf>
    <dxf>
      <fill>
        <patternFill>
          <bgColor theme="9" tint="0.5999633777886288"/>
        </patternFill>
      </fill>
    </dxf>
    <dxf>
      <fill>
        <patternFill>
          <bgColor rgb="FFC66762"/>
        </patternFill>
      </fill>
    </dxf>
    <dxf>
      <font>
        <color theme="0"/>
      </font>
    </dxf>
    <dxf>
      <fill>
        <patternFill>
          <bgColor theme="7" tint="0.3999450666829432"/>
        </patternFill>
      </fill>
    </dxf>
    <dxf>
      <font>
        <color theme="0"/>
      </font>
    </dxf>
    <dxf>
      <fill>
        <patternFill>
          <bgColor theme="7" tint="0.399945066682943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twoCellAnchor>
    <from>
      <col>0</col>
      <colOff>0</colOff>
      <row>0</row>
      <rowOff>161925</rowOff>
    </from>
    <to>
      <col>1</col>
      <colOff>781050</colOff>
      <row>0</row>
      <rowOff>619125</rowOff>
    </to>
    <grpSp>
      <nvGrpSpPr>
        <cNvPr id="8" name="Group 7"/>
        <cNvGrpSpPr/>
      </nvGrpSpPr>
      <grpSpPr>
        <a:xfrm xmlns:a="http://schemas.openxmlformats.org/drawingml/2006/main" rot="0">
          <a:off x="0" y="161925"/>
          <a:ext cx="885825" cy="457200"/>
          <a:chOff x="0" y="161925"/>
          <a:chExt cx="888206" cy="457200"/>
        </a:xfrm>
      </grpSpPr>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9581" y="194221"/>
            <a:ext cx="393192" cy="393192"/>
          </a:xfrm>
          <a:prstGeom xmlns:a="http://schemas.openxmlformats.org/drawingml/2006/main" prst="rect">
            <avLst/>
          </a:prstGeom>
          <a:ln xmlns:a="http://schemas.openxmlformats.org/drawingml/2006/main">
            <a:prstDash val="solid"/>
          </a:ln>
        </spPr>
      </pic>
    </grpSp>
    <clientData/>
  </twoCellAnchor>
  <twoCellAnchor editAs="oneCell">
    <from>
      <col>1</col>
      <colOff>0</colOff>
      <row>14</row>
      <rowOff>9525</rowOff>
    </from>
    <to>
      <col>1</col>
      <colOff>1387158</colOff>
      <row>14</row>
      <rowOff>552450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04775" y="5991225"/>
          <a:ext cx="1387158" cy="54292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19050</colOff>
      <row>0</row>
      <rowOff>171450</rowOff>
    </from>
    <to>
      <col>1</col>
      <colOff>859631</colOff>
      <row>0</row>
      <rowOff>628650</rowOff>
    </to>
    <grpSp>
      <nvGrpSpPr>
        <cNvPr id="2" name="Group 1"/>
        <cNvGrpSpPr/>
      </nvGrpSpPr>
      <grpSpPr>
        <a:xfrm xmlns:a="http://schemas.openxmlformats.org/drawingml/2006/main" rot="0">
          <a:off x="19050" y="171450"/>
          <a:ext cx="888206" cy="457200"/>
          <a:chOff x="0" y="161925"/>
          <a:chExt cx="888206" cy="457200"/>
        </a:xfrm>
      </grpSpPr>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9581" y="194221"/>
            <a:ext cx="393192" cy="393192"/>
          </a:xfrm>
          <a:prstGeom xmlns:a="http://schemas.openxmlformats.org/drawingml/2006/main" prst="rect">
            <avLst/>
          </a:prstGeom>
          <a:ln xmlns:a="http://schemas.openxmlformats.org/drawingml/2006/main">
            <a:prstDash val="solid"/>
          </a:ln>
        </spPr>
      </pic>
    </grpSp>
    <clientData/>
  </twoCellAnchor>
</wsDr>
</file>

<file path=xl/drawings/drawing3.xml><?xml version="1.0" encoding="utf-8"?>
<wsDr xmlns="http://schemas.openxmlformats.org/drawingml/2006/spreadsheetDrawing">
  <twoCellAnchor>
    <from>
      <col>0</col>
      <colOff>9525</colOff>
      <row>0</row>
      <rowOff>161925</rowOff>
    </from>
    <to>
      <col>1</col>
      <colOff>821531</colOff>
      <row>0</row>
      <rowOff>619125</rowOff>
    </to>
    <grpSp>
      <nvGrpSpPr>
        <cNvPr id="2" name="Group 1"/>
        <cNvGrpSpPr/>
      </nvGrpSpPr>
      <grpSpPr>
        <a:xfrm xmlns:a="http://schemas.openxmlformats.org/drawingml/2006/main" rot="0">
          <a:off x="9525" y="161925"/>
          <a:ext cx="888206" cy="457200"/>
          <a:chOff x="0" y="161925"/>
          <a:chExt cx="888206" cy="457200"/>
        </a:xfrm>
      </grpSpPr>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9581" y="194221"/>
            <a:ext cx="393192" cy="393192"/>
          </a:xfrm>
          <a:prstGeom xmlns:a="http://schemas.openxmlformats.org/drawingml/2006/main" prst="rect">
            <avLst/>
          </a:prstGeom>
          <a:ln xmlns:a="http://schemas.openxmlformats.org/drawingml/2006/main">
            <a:prstDash val="solid"/>
          </a:ln>
        </spPr>
      </pic>
    </grpSp>
    <clientData/>
  </twoCellAnchor>
</wsDr>
</file>

<file path=xl/drawings/drawing4.xml><?xml version="1.0" encoding="utf-8"?>
<wsDr xmlns="http://schemas.openxmlformats.org/drawingml/2006/spreadsheetDrawing">
  <twoCellAnchor>
    <from>
      <col>0</col>
      <colOff>0</colOff>
      <row>0</row>
      <rowOff>161925</rowOff>
    </from>
    <to>
      <col>1</col>
      <colOff>840581</colOff>
      <row>0</row>
      <rowOff>619125</rowOff>
    </to>
    <grpSp>
      <nvGrpSpPr>
        <cNvPr id="2" name="Group 1"/>
        <cNvGrpSpPr/>
      </nvGrpSpPr>
      <grpSpPr>
        <a:xfrm xmlns:a="http://schemas.openxmlformats.org/drawingml/2006/main" rot="0">
          <a:off x="0" y="161925"/>
          <a:ext cx="888206" cy="457200"/>
          <a:chOff x="0" y="161925"/>
          <a:chExt cx="888206" cy="457200"/>
        </a:xfrm>
      </grpSpPr>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9581" y="194221"/>
            <a:ext cx="393192" cy="393192"/>
          </a:xfrm>
          <a:prstGeom xmlns:a="http://schemas.openxmlformats.org/drawingml/2006/main" prst="rect">
            <avLst/>
          </a:prstGeom>
          <a:ln xmlns:a="http://schemas.openxmlformats.org/drawingml/2006/main">
            <a:prstDash val="solid"/>
          </a:ln>
        </spPr>
      </pic>
    </grpSp>
    <clientData/>
  </twoCellAnchor>
</wsDr>
</file>

<file path=xl/drawings/drawing5.xml><?xml version="1.0" encoding="utf-8"?>
<wsDr xmlns="http://schemas.openxmlformats.org/drawingml/2006/spreadsheetDrawing">
  <twoCellAnchor>
    <from>
      <col>0</col>
      <colOff>0</colOff>
      <row>0</row>
      <rowOff>161925</rowOff>
    </from>
    <to>
      <col>1</col>
      <colOff>840581</colOff>
      <row>0</row>
      <rowOff>619125</rowOff>
    </to>
    <grpSp>
      <nvGrpSpPr>
        <cNvPr id="2" name="Group 1"/>
        <cNvGrpSpPr/>
      </nvGrpSpPr>
      <grpSpPr>
        <a:xfrm xmlns:a="http://schemas.openxmlformats.org/drawingml/2006/main" rot="0">
          <a:off x="0" y="161925"/>
          <a:ext cx="886301" cy="457200"/>
          <a:chOff x="0" y="161925"/>
          <a:chExt cx="888206" cy="457200"/>
        </a:xfrm>
      </grpSpPr>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9581" y="194221"/>
            <a:ext cx="393192" cy="393192"/>
          </a:xfrm>
          <a:prstGeom xmlns:a="http://schemas.openxmlformats.org/drawingml/2006/main" prst="rect">
            <avLst/>
          </a:prstGeom>
          <a:ln xmlns:a="http://schemas.openxmlformats.org/drawingml/2006/main">
            <a:prstDash val="solid"/>
          </a:ln>
        </spPr>
      </pic>
    </grpSp>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B15"/>
  <sheetViews>
    <sheetView showGridLines="0" showRowColHeaders="0" zoomScaleNormal="100" workbookViewId="0">
      <selection activeCell="B3" sqref="B3"/>
    </sheetView>
  </sheetViews>
  <sheetFormatPr baseColWidth="8" defaultColWidth="0" defaultRowHeight="14.4" zeroHeight="1"/>
  <cols>
    <col width="1.5546875" customWidth="1" style="59" min="1" max="1"/>
    <col width="148.33203125" customWidth="1" style="59" min="2" max="2"/>
    <col hidden="1" width="9.109375" customWidth="1" style="59" min="3" max="16384"/>
  </cols>
  <sheetData>
    <row r="1" ht="60" customHeight="1" s="59">
      <c r="A1" s="2" t="n"/>
      <c r="B1" s="41" t="inlineStr">
        <is>
          <t xml:space="preserve"> Triaging Investors</t>
        </is>
      </c>
    </row>
    <row r="2" ht="3" customHeight="1" s="59">
      <c r="A2" s="3" t="n"/>
      <c r="B2" s="3" t="n"/>
    </row>
    <row r="3" ht="20.25" customHeight="1" s="59">
      <c r="B3" s="67" t="inlineStr">
        <is>
          <t>Investor Alignment Tool</t>
        </is>
      </c>
    </row>
    <row r="4" ht="7.5" customHeight="1" s="59">
      <c r="B4" s="67" t="n"/>
    </row>
    <row r="5" ht="55.5" customHeight="1" s="59">
      <c r="B5" s="124" t="inlineStr">
        <is>
          <t>This tool is designed to help you take the broad world of capital providers and filter down to the top investor targets that truly meet the needs of your venture.  This process will help you spend your valuable time strategically, so you avoid pursuing investors that don't match your needs and have a greater chance of success with those investors that do.</t>
        </is>
      </c>
    </row>
    <row r="6" ht="24" customHeight="1" s="59">
      <c r="B6" s="38" t="inlineStr">
        <is>
          <t>There are three steps to this process:</t>
        </is>
      </c>
    </row>
    <row r="7">
      <c r="B7" s="65" t="inlineStr">
        <is>
          <t>Tab 1: Identify your needs</t>
        </is>
      </c>
    </row>
    <row r="8" ht="83.25" customHeight="1" s="59">
      <c r="B8" s="66" t="inlineStr">
        <is>
          <t xml:space="preserve">Understand and document your own filter criteria in Tab 1.  These are the criteria on which you'll judge potential investor matches.
The knockout criteria are those on which you must match for an investment to be possible.   These include investment geography, size, financial return expectations, and more.
The fit criteria are those where you may be able to compromise or negotiate. These include governance expectations, impact evidence expectations, industry, and more.
</t>
        </is>
      </c>
    </row>
    <row r="9">
      <c r="B9" s="67" t="inlineStr">
        <is>
          <t>Tab 2: Track investors you encounter</t>
        </is>
      </c>
    </row>
    <row r="10" ht="52.5" customHeight="1" s="59">
      <c r="B10" s="66" t="inlineStr">
        <is>
          <t>Use Tab 2 to keep an organized list of all the potential investor targets you encounter.  Make notes if you've interacted with them and if you've identified next steps to keep the relationship warm.  Use this tab to also brainstorm potential individuals in your own network that can introduce you to investors you are interested in.</t>
        </is>
      </c>
    </row>
    <row r="11" ht="15.75" customHeight="1" s="59">
      <c r="B11" s="67" t="inlineStr">
        <is>
          <t>Tab 3: Evaluate your alignment with potential investors</t>
        </is>
      </c>
    </row>
    <row r="12" ht="52.5" customHeight="1" s="59">
      <c r="B12" s="66" t="inlineStr">
        <is>
          <t>Use Tab 3 to filter all the potential investors you've identified down to the top targets that are most worth your time and energy to pursue.  The knockout and fit criteria you identified will appear at the top of the tool.  Use the investor rows to document what you know about the investors.  For all criteria, decide if you align with the investor or not.  Check the results columns to easily see which investors you are most aligned with - these are your top investor targets.</t>
        </is>
      </c>
    </row>
    <row r="13" ht="22.5" customHeight="1" s="59">
      <c r="B13" s="146" t="inlineStr">
        <is>
          <t>Take a look at the Example tab to see how the Alignment Tool looks when completed by an early stage health venture with a set of fictional investors.</t>
        </is>
      </c>
    </row>
    <row r="14" ht="44.25" customHeight="1" s="59">
      <c r="B14" s="38" t="inlineStr">
        <is>
          <t>After using this tool you will have identified your top investor targets - those worth spending your time and energy pursuing.  Next you can move to Module 7 to create a plan for cultivating relationships with your top targets that may lead to investment.</t>
        </is>
      </c>
    </row>
    <row r="15" ht="45" customHeight="1" s="59">
      <c r="A15" s="37" t="n"/>
      <c r="B15" s="37"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landscape" scale="8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T9"/>
  <sheetViews>
    <sheetView showGridLines="0" showRowColHeaders="0" workbookViewId="0">
      <selection activeCell="A8" sqref="A8"/>
    </sheetView>
  </sheetViews>
  <sheetFormatPr baseColWidth="8" defaultColWidth="0" defaultRowHeight="14.4" zeroHeight="1"/>
  <cols>
    <col width="0.6640625" customWidth="1" style="4" min="1" max="1"/>
    <col width="16.109375" customWidth="1" style="40" min="2" max="2"/>
    <col width="18.33203125" customWidth="1" style="40" min="3" max="3"/>
    <col width="16.5546875" customWidth="1" style="40" min="4" max="4"/>
    <col width="16.109375" customWidth="1" style="40" min="5" max="5"/>
    <col width="16.6640625" customWidth="1" style="40" min="6" max="18"/>
    <col width="17.5546875" customWidth="1" style="40" min="19" max="19"/>
    <col width="1.33203125" customWidth="1" style="40" min="20" max="20"/>
    <col hidden="1" width="14.33203125" customWidth="1" style="59" min="21" max="21"/>
    <col hidden="1" width="14.88671875" customWidth="1" style="59" min="22" max="22"/>
    <col hidden="1" width="15" customWidth="1" style="59" min="23" max="23"/>
    <col hidden="1" width="5.88671875" customWidth="1" style="59" min="24" max="24"/>
    <col hidden="1" width="3.109375" customWidth="1" style="59" min="25" max="30"/>
    <col hidden="1" width="3" customWidth="1" style="59" min="31" max="31"/>
    <col hidden="1" width="8.88671875" customWidth="1" style="59" min="32" max="32"/>
    <col hidden="1" width="3.109375" customWidth="1" style="59" min="33" max="49"/>
    <col hidden="1" width="3.109375" customWidth="1" style="4" min="50" max="52"/>
    <col hidden="1" width="8.88671875" customWidth="1" style="4" min="53" max="16384"/>
  </cols>
  <sheetData>
    <row r="1" ht="60" customHeight="1" s="59">
      <c r="A1" s="2" t="n"/>
      <c r="B1" s="42" t="inlineStr">
        <is>
          <t xml:space="preserve"> Triaging Investors</t>
        </is>
      </c>
      <c r="C1" s="5" t="n"/>
      <c r="D1" s="5" t="n"/>
      <c r="E1" s="5" t="n"/>
      <c r="F1" s="5" t="n"/>
      <c r="G1" s="5" t="n"/>
      <c r="H1" s="5" t="n"/>
      <c r="I1" s="5" t="n"/>
      <c r="J1" s="5" t="n"/>
      <c r="K1" s="5" t="n"/>
      <c r="L1" s="5" t="n"/>
      <c r="M1" s="5" t="n"/>
      <c r="N1" s="5" t="n"/>
      <c r="O1" s="5" t="n"/>
      <c r="P1" s="5" t="n"/>
      <c r="Q1" s="5" t="n"/>
      <c r="R1" s="5" t="n"/>
      <c r="S1" s="5" t="n"/>
      <c r="T1" s="5" t="n"/>
    </row>
    <row r="2" ht="3" customHeight="1" s="59">
      <c r="A2" s="3" t="n"/>
      <c r="B2" s="6" t="n"/>
      <c r="C2" s="6" t="n"/>
      <c r="D2" s="6" t="n"/>
      <c r="E2" s="6" t="n"/>
      <c r="F2" s="6" t="n"/>
      <c r="G2" s="6" t="n"/>
      <c r="H2" s="6" t="n"/>
      <c r="I2" s="6" t="n"/>
      <c r="J2" s="6" t="n"/>
      <c r="K2" s="6" t="n"/>
      <c r="L2" s="6" t="n"/>
      <c r="M2" s="6" t="n"/>
      <c r="N2" s="6" t="n"/>
      <c r="O2" s="6" t="n"/>
      <c r="P2" s="6" t="n"/>
      <c r="Q2" s="6" t="n"/>
      <c r="R2" s="6" t="n"/>
      <c r="S2" s="6" t="n"/>
      <c r="T2" s="6" t="n"/>
    </row>
    <row r="3" ht="42.75" customHeight="1" s="59">
      <c r="B3" s="146" t="inlineStr">
        <is>
          <t xml:space="preserve">Document here the filter criteria you will use to judge potential investor matches.  
Knockout criteria are those on which you must match for an investment to be possible.   
Fit criteria are those where you may be able to negotiate.  Also, decide which fit criteria are high, medium, or low priority for matching with investors.
</t>
        </is>
      </c>
    </row>
    <row r="4" ht="3.75" customHeight="1" s="59" thickBot="1">
      <c r="A4" s="38" t="n"/>
      <c r="S4" s="40" t="n"/>
    </row>
    <row r="5" ht="16.5" customHeight="1" s="59" thickBot="1">
      <c r="A5" s="38" t="n"/>
      <c r="B5" s="38" t="n"/>
      <c r="C5" s="38" t="n"/>
      <c r="D5" s="134" t="inlineStr">
        <is>
          <t>KNOCKOUT CRITERIA - must be aligned on these</t>
        </is>
      </c>
      <c r="E5" s="164" t="n"/>
      <c r="F5" s="164" t="n"/>
      <c r="G5" s="164" t="n"/>
      <c r="H5" s="164" t="n"/>
      <c r="I5" s="165" t="n"/>
      <c r="J5" s="166" t="inlineStr">
        <is>
          <t xml:space="preserve"> FIT CRITERIA: Mission and Vision</t>
        </is>
      </c>
      <c r="K5" s="167" t="n"/>
      <c r="L5" s="166" t="inlineStr">
        <is>
          <t>FIT CRITERIA: Expected From Us</t>
        </is>
      </c>
      <c r="M5" s="164" t="n"/>
      <c r="N5" s="167" t="n"/>
      <c r="O5" s="166" t="inlineStr">
        <is>
          <t>FIT CRITERIA: Expected From Our Investors</t>
        </is>
      </c>
      <c r="P5" s="164" t="n"/>
      <c r="Q5" s="164" t="n"/>
      <c r="R5" s="164" t="n"/>
      <c r="S5" s="167" t="n"/>
    </row>
    <row r="6" ht="25.5" customHeight="1" s="59">
      <c r="A6" s="38" t="n"/>
      <c r="B6" s="38" t="n"/>
      <c r="C6" s="38" t="n"/>
      <c r="D6" s="9" t="inlineStr">
        <is>
          <t>Investment Geography</t>
        </is>
      </c>
      <c r="E6" s="9" t="inlineStr">
        <is>
          <t>Legal Structure</t>
        </is>
      </c>
      <c r="F6" s="9" t="inlineStr">
        <is>
          <t>Investment Size</t>
        </is>
      </c>
      <c r="G6" s="9" t="inlineStr">
        <is>
          <t>Return Expectations</t>
        </is>
      </c>
      <c r="H6" s="9" t="inlineStr">
        <is>
          <t>Capital Type</t>
        </is>
      </c>
      <c r="I6" s="9" t="inlineStr">
        <is>
          <t>Stage of Growth</t>
        </is>
      </c>
      <c r="J6" s="18" t="inlineStr">
        <is>
          <t>Social Mission</t>
        </is>
      </c>
      <c r="K6" s="19" t="inlineStr">
        <is>
          <t>Company Vision</t>
        </is>
      </c>
      <c r="L6" s="19" t="inlineStr">
        <is>
          <t>Governance</t>
        </is>
      </c>
      <c r="M6" s="19" t="inlineStr">
        <is>
          <t>Restrictions</t>
        </is>
      </c>
      <c r="N6" s="19" t="inlineStr">
        <is>
          <t>Impact Evidence</t>
        </is>
      </c>
      <c r="O6" s="19" t="inlineStr">
        <is>
          <t>Connections</t>
        </is>
      </c>
      <c r="P6" s="19" t="inlineStr">
        <is>
          <t>Geography experience</t>
        </is>
      </c>
      <c r="Q6" s="19" t="inlineStr">
        <is>
          <t>Industry experience</t>
        </is>
      </c>
      <c r="R6" s="19" t="inlineStr">
        <is>
          <t>Business challenge experience</t>
        </is>
      </c>
      <c r="S6" s="19" t="inlineStr">
        <is>
          <t>Impact on future investments</t>
        </is>
      </c>
    </row>
    <row r="7" ht="48.75" customFormat="1" customHeight="1" s="12" thickBot="1">
      <c r="B7" s="130" t="inlineStr">
        <is>
          <t>Information on your venture:</t>
        </is>
      </c>
      <c r="C7" s="168" t="n"/>
      <c r="D7" s="21" t="inlineStr">
        <is>
          <t>Invests in places we operate or our head-quartered</t>
        </is>
      </c>
      <c r="E7" s="21" t="inlineStr">
        <is>
          <t>Invest in our legal structure (i.e. for profit, nonprofit, hybrid)</t>
        </is>
      </c>
      <c r="F7" s="21" t="inlineStr">
        <is>
          <t>Generally invests the amount we are seeking</t>
        </is>
      </c>
      <c r="G7" s="21" t="inlineStr">
        <is>
          <t>Aligns on financial/ social return expectations (i.e., timeframe, exit)</t>
        </is>
      </c>
      <c r="H7" s="21" t="inlineStr">
        <is>
          <t>Offers type of capital (e.g. debt, equity, recoverable grant) we seek</t>
        </is>
      </c>
      <c r="I7" s="21" t="inlineStr">
        <is>
          <t>Invests in ventures at our stage of growth</t>
        </is>
      </c>
      <c r="J7" s="22" t="inlineStr">
        <is>
          <t>Understands and supports our social mission</t>
        </is>
      </c>
      <c r="K7" s="23" t="inlineStr">
        <is>
          <t>Understands and supports our vision</t>
        </is>
      </c>
      <c r="L7" s="23" t="inlineStr">
        <is>
          <t>Governance expectations (if any) match ours</t>
        </is>
      </c>
      <c r="M7" s="23" t="inlineStr">
        <is>
          <t>Any restrictions on use of funds (project, geography, etc.) work for us</t>
        </is>
      </c>
      <c r="N7" s="23" t="inlineStr">
        <is>
          <t>We can provide the level of impact evidence expected</t>
        </is>
      </c>
      <c r="O7" s="23" t="inlineStr">
        <is>
          <t>Able and willing to make useful connections for us</t>
        </is>
      </c>
      <c r="P7" s="23" t="inlineStr">
        <is>
          <t>Has experience in the locations we operate and want to enter</t>
        </is>
      </c>
      <c r="Q7" s="23" t="inlineStr">
        <is>
          <t>Has experience in our industry and/or market segment</t>
        </is>
      </c>
      <c r="R7" s="23" t="inlineStr">
        <is>
          <t>Has experience with the specific issues we are facing</t>
        </is>
      </c>
      <c r="S7" s="23" t="inlineStr">
        <is>
          <t>Any potential positive or negative impact on future capital raise works for us</t>
        </is>
      </c>
      <c r="T7" s="13" t="n"/>
    </row>
    <row r="8" ht="50.25" customHeight="1" s="59">
      <c r="B8" s="131" t="inlineStr">
        <is>
          <t>Our needs</t>
        </is>
      </c>
      <c r="C8" s="28" t="inlineStr">
        <is>
          <t>Document
your
needs:</t>
        </is>
      </c>
      <c r="D8" s="86" t="inlineStr">
        <is>
          <t>Remote Aboriginal &amp; Torres Strait Islander communities / remote Australia (NT, QLD, WA, SA). National mandates qualify.</t>
        </is>
      </c>
      <c r="E8" s="86" t="inlineStr">
        <is>
          <t>Sole trader (N. Marchesi) migrating into A Curious Tractor Pty Ltd (t/a Goods on Country) this FY; DGR via The Butterfly Movement Ltd (FY2026-27). Hybrid/Pty Ltd/NFP OK; equity into eventual structure complex.</t>
        </is>
      </c>
      <c r="F8" s="86" t="inlineStr">
        <is>
          <t>First ~AU$400K signed within a AU$900K–1M blended raise. Grants ~$50–200K; concessional debt ~$300K; IBA blend up to $5M later.</t>
        </is>
      </c>
      <c r="G8" s="86" t="inlineStr">
        <is>
          <t>Concessional / social-first. Non-equity. Repayable preferred (QBE match rule), grants welcome. 5–10 yr horizon; exit = community ownership of production, not investor liquidity.</t>
        </is>
      </c>
      <c r="H8" s="86" t="inlineStr">
        <is>
          <t>Grants + concessional / recoverable / patient debt. NO conventional equity in 2026 (equity only inside a future community-ownership model).</t>
        </is>
      </c>
      <c r="I8" s="86" t="inlineStr">
        <is>
          <t>Early commercial — proven delivery (496 beds / 9 communities, tracked), pre-revenue commercial engine. A de-risking round (~89% grant-funded by design). Not seed; not growth-stage.</t>
        </is>
      </c>
      <c r="J8" s="86" t="inlineStr">
        <is>
          <t>Washable, repairable goods that prevent disease, built WITH communities, moving toward community ownership.</t>
        </is>
      </c>
      <c r="K8" s="86" t="inlineStr">
        <is>
          <t>Endgame is to become unnecessary — local people making, owning and repairing the goods themselves.</t>
        </is>
      </c>
      <c r="L8" s="86" t="inlineStr">
        <is>
          <t>Advisory board today, not yet fiduciary. Debt funders needing an independent-majority board are a real gate; grant funders comfortable with an advisory group are not.</t>
        </is>
      </c>
      <c r="M8" s="86" t="inlineStr">
        <is>
          <t>Geography-restricted money is workable (we deploy there anyway), but it shapes what each dollar can fund (e.g. not the in-source R&amp;D run).</t>
        </is>
      </c>
      <c r="N8" s="86" t="inlineStr">
        <is>
          <t>Strong delivery evidence (tracked register, consented stories); MEL framework + longitudinal outcomes are draft. Catalytic funders accept the de-risking framing.</t>
        </is>
      </c>
      <c r="O8" s="86" t="inlineStr">
        <is>
          <t>Want introductions to procurement, government, finance and governance expertise. First-signature signalling value (Snow -&gt; the rest of the stack) sits here.</t>
        </is>
      </c>
      <c r="P8" s="86" t="inlineStr">
        <is>
          <t>Remote-Australia experience helps (won't panic at freight/timelines). National funders willing to learn properly still qualify.</t>
        </is>
      </c>
      <c r="Q8" s="86" t="inlineStr">
        <is>
          <t>Few funders have direct sector experience (remote household goods, recycled-plastic manufacture, Indigenous procurement); not weighted heavily.</t>
        </is>
      </c>
      <c r="R8" s="86" t="inlineStr">
        <is>
          <t>Helpful if they've backed early-commercial social enterprises through the prove-the-engine stage; not applied strictly given the pipeline.</t>
        </is>
      </c>
      <c r="S8" s="97" t="inlineStr">
        <is>
          <t>A marquee catalytic name de-risks the next raise and the community-ownership transition. Negative-signal risk low; upside real.</t>
        </is>
      </c>
    </row>
    <row r="9" ht="26.25" customHeight="1" s="59" thickBot="1">
      <c r="B9" s="169" t="n"/>
      <c r="C9" s="46" t="inlineStr">
        <is>
          <t>Choose priority level (dropdown menu):</t>
        </is>
      </c>
      <c r="D9" s="133" t="inlineStr">
        <is>
          <t>High - MOST IMPORTANT to be aligned on these</t>
        </is>
      </c>
      <c r="E9" s="170" t="n"/>
      <c r="F9" s="170" t="n"/>
      <c r="G9" s="170" t="n"/>
      <c r="H9" s="170" t="n"/>
      <c r="I9" s="171" t="n"/>
      <c r="J9" s="29" t="inlineStr">
        <is>
          <t>High</t>
        </is>
      </c>
      <c r="K9" s="29" t="inlineStr">
        <is>
          <t>High</t>
        </is>
      </c>
      <c r="L9" s="29" t="inlineStr">
        <is>
          <t>Medium</t>
        </is>
      </c>
      <c r="M9" s="29" t="inlineStr">
        <is>
          <t>Medium</t>
        </is>
      </c>
      <c r="N9" s="29" t="inlineStr">
        <is>
          <t>Medium</t>
        </is>
      </c>
      <c r="O9" s="29" t="inlineStr">
        <is>
          <t>High</t>
        </is>
      </c>
      <c r="P9" s="29" t="inlineStr">
        <is>
          <t>Medium</t>
        </is>
      </c>
      <c r="Q9" s="29" t="inlineStr">
        <is>
          <t>Low</t>
        </is>
      </c>
      <c r="R9" s="29" t="inlineStr">
        <is>
          <t>Low</t>
        </is>
      </c>
      <c r="S9" s="30" t="inlineStr">
        <is>
          <t>Medium</t>
        </is>
      </c>
    </row>
    <row r="10" ht="14.25" customHeight="1" s="59"/>
    <row r="11" hidden="1" ht="24.9" customHeight="1" s="59"/>
    <row r="12" hidden="1" ht="65.09999999999999" customHeight="1" s="59"/>
    <row r="13" hidden="1" ht="6" customHeight="1" s="59"/>
    <row r="14" hidden="1" ht="24.9" customHeight="1" s="59"/>
    <row r="15" hidden="1" ht="65.09999999999999" customHeight="1" s="59"/>
    <row r="16" hidden="1" ht="6" customHeight="1" s="59"/>
    <row r="17" hidden="1" ht="24.9" customHeight="1" s="59"/>
    <row r="18" hidden="1" ht="65.09999999999999" customHeight="1" s="59"/>
    <row r="19" hidden="1" ht="6" customHeight="1" s="59"/>
    <row r="20" hidden="1" ht="24.9" customHeight="1" s="59"/>
    <row r="21" hidden="1" ht="65.09999999999999" customHeight="1" s="59"/>
    <row r="22" hidden="1" ht="6" customHeight="1" s="59"/>
    <row r="23" hidden="1" ht="24.9" customHeight="1" s="59"/>
    <row r="24" hidden="1" ht="65.09999999999999" customHeight="1" s="59"/>
    <row r="25" hidden="1" ht="6" customHeight="1" s="59"/>
    <row r="26" hidden="1" ht="24.9" customHeight="1" s="59"/>
    <row r="27" hidden="1" ht="65.09999999999999" customHeight="1" s="59"/>
    <row r="28" hidden="1" ht="6" customHeight="1" s="59"/>
    <row r="29" hidden="1" ht="24.9" customHeight="1" s="59"/>
    <row r="30" hidden="1" ht="65.09999999999999" customHeight="1" s="59"/>
    <row r="31" hidden="1" ht="6" customHeight="1" s="59"/>
    <row r="32" hidden="1" ht="24.9" customHeight="1" s="59"/>
    <row r="33" hidden="1" ht="65.09999999999999" customHeight="1" s="59"/>
    <row r="34" hidden="1" ht="6" customHeight="1" s="59"/>
    <row r="35" hidden="1" ht="24.9" customHeight="1" s="59"/>
    <row r="36" hidden="1" ht="65.09999999999999" customHeight="1" s="59"/>
    <row r="37" hidden="1" ht="6" customHeight="1" s="59"/>
    <row r="38" hidden="1" ht="24.9" customHeight="1" s="59"/>
    <row r="39" hidden="1" ht="65.09999999999999" customHeight="1" s="59"/>
    <row r="40" hidden="1" ht="6" customHeight="1" s="59"/>
    <row r="41" hidden="1" ht="24.9" customHeight="1" s="59"/>
    <row r="42" hidden="1" ht="65.09999999999999" customHeight="1" s="59"/>
    <row r="43" hidden="1" ht="6" customHeight="1" s="59"/>
    <row r="44" hidden="1" ht="24.9" customHeight="1" s="59"/>
    <row r="45" hidden="1" ht="65.09999999999999" customHeight="1" s="59"/>
    <row r="46" hidden="1" ht="6" customHeight="1" s="59"/>
    <row r="47" hidden="1" ht="24.9" customHeight="1" s="59"/>
    <row r="48" hidden="1" ht="65.09999999999999" customHeight="1" s="59"/>
    <row r="49" hidden="1" ht="6" customHeight="1" s="59"/>
    <row r="50" hidden="1" ht="24.9" customHeight="1" s="59"/>
    <row r="51" hidden="1" ht="65.09999999999999" customHeight="1" s="59"/>
    <row r="52" hidden="1" ht="6" customHeight="1" s="59"/>
    <row r="53" hidden="1" ht="24.9" customHeight="1" s="59"/>
    <row r="54" hidden="1" ht="65.09999999999999" customHeight="1" s="59"/>
    <row r="55" hidden="1" ht="6" customHeight="1" s="59"/>
    <row r="56" hidden="1" ht="24.9" customHeight="1" s="59"/>
    <row r="57" hidden="1" ht="65.09999999999999" customHeight="1" s="59"/>
    <row r="58" hidden="1" ht="6" customHeight="1" s="59"/>
    <row r="59" hidden="1" ht="24.9" customHeight="1" s="59"/>
    <row r="60" hidden="1" ht="65.09999999999999" customHeight="1" s="59"/>
    <row r="61" hidden="1" ht="6" customHeight="1" s="59"/>
    <row r="62" hidden="1" ht="24.9" customHeight="1" s="59"/>
    <row r="63" hidden="1" ht="65.09999999999999" customHeight="1" s="59"/>
    <row r="64" hidden="1" ht="6" customHeight="1" s="59"/>
    <row r="65" hidden="1" ht="24.9" customHeight="1" s="59"/>
    <row r="66" hidden="1" ht="65.09999999999999" customHeight="1" s="59"/>
    <row r="67" hidden="1" ht="6" customHeight="1" s="59"/>
    <row r="68" hidden="1" ht="24.9" customHeight="1" s="59"/>
    <row r="69" hidden="1" ht="65.09999999999999" customHeight="1" s="59"/>
    <row r="70" hidden="1" s="59"/>
    <row r="71" hidden="1" ht="24.9" customHeight="1" s="59"/>
    <row r="72" hidden="1" ht="65.09999999999999" customHeight="1" s="59"/>
    <row r="73" hidden="1" ht="6" customHeight="1" s="59"/>
    <row r="74" hidden="1" ht="24.9" customHeight="1" s="59"/>
    <row r="75" hidden="1" ht="65.09999999999999" customHeight="1" s="59"/>
    <row r="76" hidden="1" ht="6" customHeight="1" s="59"/>
    <row r="77" hidden="1" ht="24.9" customHeight="1" s="59"/>
    <row r="78" hidden="1" ht="65.09999999999999" customHeight="1" s="59"/>
    <row r="79" hidden="1" ht="6" customHeight="1" s="59"/>
    <row r="80" hidden="1" ht="24.9" customHeight="1" s="59"/>
    <row r="81" hidden="1" ht="65.09999999999999" customHeight="1" s="59"/>
    <row r="82" hidden="1" ht="6" customHeight="1" s="59"/>
    <row r="83" hidden="1" ht="24.9" customHeight="1" s="59"/>
    <row r="84" hidden="1" ht="65.09999999999999" customHeight="1" s="59"/>
    <row r="85" hidden="1" ht="6" customHeight="1" s="59"/>
    <row r="86" hidden="1" ht="24.9" customHeight="1" s="59"/>
    <row r="87" hidden="1" ht="65.09999999999999" customHeight="1" s="59"/>
    <row r="88" hidden="1" ht="6" customHeight="1" s="59"/>
    <row r="89" hidden="1" ht="24.9" customHeight="1" s="59"/>
    <row r="90" hidden="1" ht="65.09999999999999" customHeight="1" s="59"/>
    <row r="91" hidden="1" ht="6" customHeight="1" s="59"/>
    <row r="92" hidden="1" ht="24.9" customHeight="1" s="59"/>
    <row r="93" hidden="1" ht="65.09999999999999" customHeight="1" s="59"/>
    <row r="94" hidden="1" ht="6" customHeight="1" s="59"/>
    <row r="95" hidden="1" ht="24.9" customHeight="1" s="59"/>
    <row r="96" hidden="1" ht="65.09999999999999" customHeight="1" s="59"/>
    <row r="97" hidden="1" ht="6" customHeight="1" s="59"/>
    <row r="98" hidden="1" ht="24.9" customHeight="1" s="59"/>
    <row r="99" hidden="1" ht="65.09999999999999" customHeight="1" s="59"/>
    <row r="100" hidden="1" ht="16.5" customHeight="1" s="59"/>
    <row r="101" hidden="1" ht="24.9" customHeight="1" s="59"/>
    <row r="102" hidden="1" ht="65.09999999999999" customHeight="1" s="59"/>
    <row r="103" hidden="1" ht="6" customHeight="1" s="59"/>
    <row r="104" hidden="1" ht="24.9" customHeight="1" s="59"/>
    <row r="105" hidden="1" ht="65.09999999999999" customHeight="1" s="59"/>
    <row r="106" hidden="1" ht="6" customHeight="1" s="59"/>
    <row r="107" hidden="1" ht="24.9" customHeight="1" s="59"/>
    <row r="108" hidden="1" ht="65.09999999999999" customHeight="1" s="59"/>
    <row r="109" hidden="1" ht="6" customHeight="1" s="59"/>
    <row r="110" hidden="1" ht="24.9" customHeight="1" s="59"/>
    <row r="111" hidden="1" ht="65.09999999999999" customHeight="1" s="59"/>
    <row r="112" hidden="1" ht="6" customHeight="1" s="59"/>
    <row r="113" hidden="1" ht="24.9" customHeight="1" s="59"/>
    <row r="114" hidden="1" ht="65.09999999999999" customHeight="1" s="59"/>
    <row r="115" hidden="1" ht="6" customHeight="1" s="59"/>
    <row r="116" hidden="1" ht="24.9" customHeight="1" s="59"/>
    <row r="117" hidden="1" ht="65.09999999999999" customHeight="1" s="59"/>
    <row r="118" hidden="1" ht="6" customHeight="1" s="59"/>
    <row r="119" hidden="1" ht="24.9" customHeight="1" s="59"/>
    <row r="120" hidden="1" ht="65.09999999999999" customHeight="1" s="59"/>
    <row r="121" hidden="1" ht="6" customHeight="1" s="59"/>
    <row r="122" hidden="1" ht="24.9" customHeight="1" s="59"/>
    <row r="123" hidden="1" ht="65.09999999999999" customHeight="1" s="59"/>
    <row r="124" hidden="1" ht="6" customHeight="1" s="59"/>
    <row r="125" hidden="1" ht="24.9" customHeight="1" s="59"/>
    <row r="126" hidden="1" ht="65.09999999999999" customHeight="1" s="59"/>
    <row r="127" hidden="1" ht="6" customHeight="1" s="59"/>
    <row r="128" hidden="1" ht="24.9" customHeight="1" s="59"/>
    <row r="129" hidden="1" ht="65.09999999999999" customHeight="1" s="59"/>
    <row r="130" hidden="1" s="59"/>
    <row r="131" hidden="1" ht="24.9" customHeight="1" s="59"/>
    <row r="132" hidden="1" ht="65.09999999999999" customHeight="1" s="59"/>
    <row r="133" hidden="1" ht="6" customHeight="1" s="59"/>
    <row r="134" hidden="1" ht="24.9" customHeight="1" s="59"/>
    <row r="135" hidden="1" ht="65.09999999999999" customHeight="1" s="59"/>
    <row r="136" hidden="1" ht="6" customHeight="1" s="59"/>
    <row r="137" hidden="1" ht="24.9" customHeight="1" s="59"/>
    <row r="138" hidden="1" ht="65.09999999999999" customHeight="1" s="59"/>
    <row r="139" hidden="1" ht="6" customHeight="1" s="59"/>
    <row r="140" hidden="1" ht="24.9" customHeight="1" s="59"/>
    <row r="141" hidden="1" ht="65.09999999999999" customHeight="1" s="59"/>
    <row r="142" hidden="1" ht="6" customHeight="1" s="59"/>
    <row r="143" hidden="1" ht="24.9" customHeight="1" s="59"/>
    <row r="144" hidden="1" ht="65.09999999999999" customHeight="1" s="59"/>
    <row r="145" hidden="1" ht="6" customHeight="1" s="59"/>
    <row r="146" hidden="1" ht="24.9" customHeight="1" s="59"/>
    <row r="147" hidden="1" ht="65.09999999999999" customHeight="1" s="59"/>
    <row r="148" hidden="1" ht="6" customHeight="1" s="59"/>
    <row r="149" hidden="1" ht="24.9" customHeight="1" s="59"/>
    <row r="150" hidden="1" ht="65.09999999999999" customHeight="1" s="59"/>
    <row r="151" hidden="1" ht="6" customHeight="1" s="59"/>
    <row r="152" hidden="1" ht="24.9" customHeight="1" s="59"/>
    <row r="153" hidden="1" ht="65.09999999999999" customHeight="1" s="59"/>
    <row r="154" hidden="1" ht="6" customHeight="1" s="59"/>
    <row r="155" hidden="1" ht="24.9" customHeight="1" s="59"/>
    <row r="156" hidden="1" ht="65.09999999999999" customHeight="1" s="59"/>
    <row r="157" hidden="1" ht="6" customHeight="1" s="59"/>
    <row r="158" hidden="1" ht="24.9" customHeight="1" s="59"/>
    <row r="159" hidden="1" ht="65.09999999999999" customHeight="1" s="59"/>
    <row r="160" hidden="1" ht="18" customHeight="1" s="59"/>
    <row r="161" hidden="1" ht="24.9" customHeight="1" s="59"/>
    <row r="162" hidden="1" ht="65.09999999999999" customHeight="1" s="59"/>
    <row r="163" hidden="1" ht="6" customHeight="1" s="59"/>
    <row r="164" hidden="1" ht="24.9" customHeight="1" s="59"/>
    <row r="165" hidden="1" ht="65.09999999999999" customHeight="1" s="59"/>
    <row r="166" hidden="1" ht="6" customHeight="1" s="59"/>
    <row r="167" hidden="1" ht="24.9" customHeight="1" s="59"/>
    <row r="168" hidden="1" ht="65.09999999999999" customHeight="1" s="59"/>
    <row r="169" hidden="1" ht="6" customHeight="1" s="59"/>
    <row r="170" hidden="1" ht="24.9" customHeight="1" s="59"/>
    <row r="171" hidden="1" ht="65.09999999999999" customHeight="1" s="59"/>
    <row r="172" hidden="1" ht="6" customHeight="1" s="59"/>
    <row r="173" hidden="1" ht="24.9" customHeight="1" s="59"/>
    <row r="174" hidden="1" ht="65.09999999999999" customHeight="1" s="59"/>
    <row r="175" hidden="1" ht="6" customHeight="1" s="59"/>
    <row r="176" hidden="1" ht="24.9" customHeight="1" s="59"/>
    <row r="177" hidden="1" ht="65.09999999999999" customHeight="1" s="59"/>
    <row r="178" hidden="1" ht="6" customHeight="1" s="59"/>
    <row r="179" hidden="1" ht="24.9" customHeight="1" s="59"/>
    <row r="180" hidden="1" ht="65.09999999999999" customHeight="1" s="59"/>
    <row r="181" hidden="1" ht="6" customHeight="1" s="59"/>
    <row r="182" hidden="1" ht="24.9" customHeight="1" s="59"/>
    <row r="183" hidden="1" ht="65.09999999999999" customHeight="1" s="59"/>
    <row r="184" hidden="1" ht="6" customHeight="1" s="59"/>
    <row r="185" hidden="1" ht="24.9" customHeight="1" s="59"/>
    <row r="186" hidden="1" ht="65.09999999999999" customHeight="1" s="59"/>
    <row r="187" hidden="1" ht="6" customHeight="1" s="59"/>
    <row r="188" hidden="1" ht="24.9" customHeight="1" s="59"/>
    <row r="189" hidden="1" ht="65.09999999999999" customHeight="1" s="59"/>
    <row r="190" hidden="1" s="59"/>
    <row r="191" hidden="1" s="59"/>
  </sheetData>
  <mergeCells count="8">
    <mergeCell ref="B7:C7"/>
    <mergeCell ref="J5:K5"/>
    <mergeCell ref="D5:I5"/>
    <mergeCell ref="O5:S5"/>
    <mergeCell ref="L5:N5"/>
    <mergeCell ref="D9:I9"/>
    <mergeCell ref="B3:K4"/>
    <mergeCell ref="B8:B9"/>
  </mergeCells>
  <conditionalFormatting sqref="J9:S9">
    <cfRule type="containsText" priority="5761" operator="containsText" dxfId="385" text="High">
      <formula>NOT(ISERROR(SEARCH("High",J9)))</formula>
    </cfRule>
  </conditionalFormatting>
  <dataValidations count="1">
    <dataValidation sqref="J9:S9" showDropDown="0" showInputMessage="0" showErrorMessage="0" allowBlank="1" type="list">
      <formula1>=Dropdowns!$A$1:$A$4</formula1>
    </dataValidation>
  </dataValidations>
  <pageMargins left="0.7" right="0.7" top="0.75" bottom="0.75" header="0.3" footer="0.3"/>
  <pageSetup orientation="landscape" scale="65" fitToHeight="0" fitToWidth="2"/>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244"/>
  <sheetViews>
    <sheetView showGridLines="0" showRowColHeaders="0" zoomScaleNormal="100" workbookViewId="0">
      <pane xSplit="2" ySplit="5" topLeftCell="C14" activePane="bottomRight" state="frozen"/>
      <selection pane="topRight" activeCell="B1" sqref="B1"/>
      <selection pane="bottomLeft" activeCell="A6" sqref="A6"/>
      <selection pane="bottomRight" activeCell="F22" sqref="F22"/>
    </sheetView>
  </sheetViews>
  <sheetFormatPr baseColWidth="8" defaultColWidth="0" defaultRowHeight="14.4" outlineLevelRow="1"/>
  <cols>
    <col width="1.109375" customWidth="1" style="59" min="1" max="1"/>
    <col width="31.88671875" customWidth="1" style="59" min="2" max="2"/>
    <col width="3.109375" customWidth="1" style="59" min="3" max="3"/>
    <col width="20" customWidth="1" style="59" min="4" max="4"/>
    <col width="20.33203125" customWidth="1" style="59" min="5" max="5"/>
    <col width="21.44140625" customWidth="1" style="59" min="6" max="6"/>
    <col width="8.44140625" customWidth="1" style="59" min="7" max="7"/>
    <col width="8" customWidth="1" style="59" min="8" max="8"/>
    <col width="32.109375" customWidth="1" style="59" min="9" max="9"/>
    <col width="34.5546875" customWidth="1" style="59" min="10" max="10"/>
    <col width="3.44140625" customWidth="1" style="59" min="11" max="11"/>
    <col width="22.33203125" customWidth="1" style="59" min="12" max="12"/>
    <col width="21.33203125" customWidth="1" style="59" min="13" max="13"/>
    <col width="15.88671875" customWidth="1" style="59" min="14" max="14"/>
    <col width="47.88671875" customWidth="1" style="59" min="15" max="15"/>
    <col width="8.88671875" customWidth="1" style="59" min="16" max="16"/>
    <col hidden="1" width="13" customWidth="1" style="59" min="17" max="23"/>
    <col hidden="1" width="8.88671875" customWidth="1" style="59" min="24" max="16384"/>
  </cols>
  <sheetData>
    <row r="1" ht="60" customFormat="1" customHeight="1" s="4">
      <c r="A1" s="5" t="n"/>
      <c r="B1" s="43" t="inlineStr">
        <is>
          <t>Triaging Investors</t>
        </is>
      </c>
      <c r="C1" s="5" t="n"/>
      <c r="D1" s="5" t="n"/>
      <c r="E1" s="5" t="n"/>
      <c r="F1" s="5" t="n"/>
      <c r="G1" s="5" t="n"/>
      <c r="H1" s="5" t="n"/>
      <c r="I1" s="5" t="n"/>
      <c r="J1" s="5" t="n"/>
      <c r="K1" s="5" t="n"/>
      <c r="L1" s="5" t="n"/>
      <c r="M1" s="5" t="n"/>
      <c r="N1" s="5" t="n"/>
      <c r="O1" s="5" t="n"/>
      <c r="P1" s="5" t="n"/>
    </row>
    <row r="2" ht="3" customFormat="1" customHeight="1" s="4">
      <c r="A2" s="6" t="n"/>
      <c r="B2" s="3" t="n"/>
      <c r="C2" s="6" t="n"/>
      <c r="D2" s="6" t="n"/>
      <c r="E2" s="6" t="n"/>
      <c r="F2" s="6" t="n"/>
      <c r="G2" s="6" t="n"/>
      <c r="H2" s="6" t="n"/>
      <c r="I2" s="6" t="n"/>
      <c r="J2" s="6" t="n"/>
      <c r="K2" s="6" t="n"/>
      <c r="L2" s="6" t="n"/>
      <c r="M2" s="6" t="n"/>
      <c r="N2" s="6" t="n"/>
      <c r="O2" s="6" t="n"/>
      <c r="P2" s="6" t="n"/>
    </row>
    <row r="3" ht="27" customFormat="1" customHeight="1" s="4">
      <c r="B3" s="146" t="inlineStr">
        <is>
          <t>List all potential investor targets here.  Make notes on your interactions, next steps, and individuals in your network that can introduce you.</t>
        </is>
      </c>
      <c r="C3" s="146" t="n"/>
      <c r="D3" s="40" t="n"/>
      <c r="E3" s="40" t="n"/>
      <c r="F3" s="40" t="n"/>
      <c r="G3" s="40" t="n"/>
      <c r="H3" s="40" t="n"/>
      <c r="I3" s="40" t="n"/>
      <c r="J3" s="40" t="n"/>
      <c r="K3" s="40" t="n"/>
      <c r="L3" s="40" t="n"/>
      <c r="M3" s="40" t="n"/>
      <c r="N3" s="40" t="n"/>
      <c r="O3" s="40" t="n"/>
      <c r="P3" s="40" t="n"/>
    </row>
    <row r="4" ht="27" customFormat="1" customHeight="1" s="4">
      <c r="C4" s="172" t="n"/>
      <c r="D4" s="173" t="n"/>
      <c r="E4" s="173" t="n"/>
      <c r="F4" s="174" t="n"/>
      <c r="G4" s="175" t="inlineStr">
        <is>
          <t>Notes on correspondence</t>
        </is>
      </c>
      <c r="H4" s="173" t="n"/>
      <c r="I4" s="173" t="n"/>
      <c r="J4" s="174" t="n"/>
      <c r="K4" s="147" t="inlineStr">
        <is>
          <t>Connectors</t>
        </is>
      </c>
      <c r="L4" s="176" t="n"/>
      <c r="M4" s="176" t="n"/>
      <c r="N4" s="176" t="n"/>
      <c r="O4" s="177" t="n"/>
      <c r="P4" s="40" t="n"/>
      <c r="Q4" s="40" t="n"/>
      <c r="R4" s="40" t="n"/>
      <c r="S4" s="40" t="n"/>
      <c r="T4" s="40" t="n"/>
    </row>
    <row r="5" ht="27" customHeight="1" s="59" thickBot="1">
      <c r="C5" s="103" t="inlineStr">
        <is>
          <t>Contact Name</t>
        </is>
      </c>
      <c r="D5" s="178" t="n"/>
      <c r="E5" s="103" t="inlineStr">
        <is>
          <t>Contact Email</t>
        </is>
      </c>
      <c r="F5" s="103" t="inlineStr">
        <is>
          <t>Contact Phone</t>
        </is>
      </c>
      <c r="G5" s="69" t="n"/>
      <c r="H5" s="70" t="inlineStr">
        <is>
          <t>Date</t>
        </is>
      </c>
      <c r="I5" s="70" t="inlineStr">
        <is>
          <t>Notes</t>
        </is>
      </c>
      <c r="J5" s="71" t="inlineStr">
        <is>
          <t>Next Steps</t>
        </is>
      </c>
      <c r="K5" s="102" t="inlineStr">
        <is>
          <t>Connector Name</t>
        </is>
      </c>
      <c r="L5" s="178" t="n"/>
      <c r="M5" s="102" t="inlineStr">
        <is>
          <t>Connector email</t>
        </is>
      </c>
      <c r="N5" s="102" t="inlineStr">
        <is>
          <t>Connector phone</t>
        </is>
      </c>
      <c r="O5" s="72" t="inlineStr">
        <is>
          <t>Notes on correspondence</t>
        </is>
      </c>
    </row>
    <row r="6" outlineLevel="1" ht="24" customHeight="1" s="59">
      <c r="B6" s="73" t="inlineStr">
        <is>
          <t>QBE Foundation</t>
        </is>
      </c>
      <c r="C6" s="74" t="inlineStr">
        <is>
          <t>Jay Boolkin (program coordinator)</t>
        </is>
      </c>
      <c r="D6" s="105" t="n"/>
      <c r="E6" s="106" t="n"/>
      <c r="F6" s="106" t="n"/>
      <c r="G6" s="75" t="inlineStr">
        <is>
          <t>Most recent:</t>
        </is>
      </c>
      <c r="H6" s="76" t="n"/>
      <c r="I6" s="76" t="n"/>
      <c r="J6" s="99" t="n"/>
      <c r="K6" s="77" t="inlineStr">
        <is>
          <t>1:</t>
        </is>
      </c>
      <c r="L6" s="105" t="n"/>
      <c r="M6" s="106" t="n"/>
      <c r="N6" s="114" t="n"/>
      <c r="O6" s="137" t="n"/>
    </row>
    <row r="7" outlineLevel="1" ht="24" customHeight="1" s="59">
      <c r="B7" s="78" t="inlineStr">
        <is>
          <t>Private Foundation</t>
        </is>
      </c>
      <c r="C7" s="39" t="inlineStr">
        <is>
          <t>2:</t>
        </is>
      </c>
      <c r="D7" s="107" t="n"/>
      <c r="E7" s="108" t="n"/>
      <c r="F7" s="108" t="n"/>
      <c r="G7" s="98" t="inlineStr">
        <is>
          <t>Historic:</t>
        </is>
      </c>
      <c r="H7" s="179" t="n"/>
      <c r="I7" s="180" t="n"/>
      <c r="J7" s="181" t="n"/>
      <c r="K7" s="31" t="inlineStr">
        <is>
          <t>2:</t>
        </is>
      </c>
      <c r="L7" s="107" t="n"/>
      <c r="M7" s="108" t="n"/>
      <c r="N7" s="115" t="n"/>
      <c r="O7" s="182" t="n"/>
    </row>
    <row r="8" outlineLevel="1" ht="24" customHeight="1" s="59" thickBot="1">
      <c r="B8" s="79" t="inlineStr">
        <is>
          <t>qbefoundation.com.au</t>
        </is>
      </c>
      <c r="C8" s="80" t="inlineStr">
        <is>
          <t>3:</t>
        </is>
      </c>
      <c r="D8" s="109" t="n"/>
      <c r="E8" s="110" t="n"/>
      <c r="F8" s="110" t="n"/>
      <c r="G8" s="81" t="n"/>
      <c r="H8" s="183" t="n"/>
      <c r="I8" s="183" t="n"/>
      <c r="J8" s="184" t="n"/>
      <c r="K8" s="82" t="inlineStr">
        <is>
          <t>3:</t>
        </is>
      </c>
      <c r="L8" s="109" t="n"/>
      <c r="M8" s="110" t="n"/>
      <c r="N8" s="116" t="n"/>
      <c r="O8" s="185" t="n"/>
    </row>
    <row r="9" outlineLevel="1" ht="9" customHeight="1" s="59" thickBot="1">
      <c r="D9" s="112" t="n"/>
      <c r="E9" s="112" t="n"/>
      <c r="F9" s="112" t="n"/>
      <c r="H9" s="100" t="n"/>
      <c r="I9" s="100" t="n"/>
      <c r="J9" s="100" t="n"/>
      <c r="L9" s="112" t="n"/>
      <c r="M9" s="112" t="n"/>
      <c r="N9" s="112" t="n"/>
      <c r="O9" s="104" t="n"/>
    </row>
    <row r="10" outlineLevel="1" ht="24" customHeight="1" s="59">
      <c r="B10" s="73" t="inlineStr">
        <is>
          <t>Snow Foundation</t>
        </is>
      </c>
      <c r="C10" s="77" t="inlineStr">
        <is>
          <t>Sally Grimsley-Ballard (advisory group; confirm grants lead)</t>
        </is>
      </c>
      <c r="D10" s="105" t="n"/>
      <c r="E10" s="106" t="n"/>
      <c r="F10" s="106" t="n"/>
      <c r="G10" s="75" t="inlineStr">
        <is>
          <t>Most recent:</t>
        </is>
      </c>
      <c r="H10" s="76" t="n"/>
      <c r="I10" s="76" t="n"/>
      <c r="J10" s="99" t="n"/>
      <c r="K10" s="77" t="inlineStr">
        <is>
          <t>1:</t>
        </is>
      </c>
      <c r="L10" s="105" t="n"/>
      <c r="M10" s="106" t="n"/>
      <c r="N10" s="114" t="n"/>
      <c r="O10" s="137" t="n"/>
    </row>
    <row r="11" outlineLevel="1" ht="24" customHeight="1" s="59">
      <c r="B11" s="78" t="inlineStr">
        <is>
          <t>Community or Family Foundation</t>
        </is>
      </c>
      <c r="C11" s="31" t="inlineStr">
        <is>
          <t>2:</t>
        </is>
      </c>
      <c r="D11" s="107" t="n"/>
      <c r="E11" s="108" t="n"/>
      <c r="F11" s="108" t="n"/>
      <c r="G11" s="98" t="inlineStr">
        <is>
          <t>Historic:</t>
        </is>
      </c>
      <c r="H11" s="179" t="n"/>
      <c r="I11" s="180" t="n"/>
      <c r="J11" s="181" t="n"/>
      <c r="K11" s="31" t="inlineStr">
        <is>
          <t>2:</t>
        </is>
      </c>
      <c r="L11" s="107" t="n"/>
      <c r="M11" s="108" t="n"/>
      <c r="N11" s="115" t="n"/>
      <c r="O11" s="182" t="n"/>
    </row>
    <row r="12" outlineLevel="1" ht="24" customHeight="1" s="59" thickBot="1">
      <c r="B12" s="79" t="inlineStr">
        <is>
          <t>snowfoundation.org.au</t>
        </is>
      </c>
      <c r="C12" s="82" t="inlineStr">
        <is>
          <t>3:</t>
        </is>
      </c>
      <c r="D12" s="109" t="n"/>
      <c r="E12" s="110" t="n"/>
      <c r="F12" s="110" t="n"/>
      <c r="G12" s="81" t="n"/>
      <c r="H12" s="183" t="n"/>
      <c r="I12" s="183" t="n"/>
      <c r="J12" s="184" t="n"/>
      <c r="K12" s="82" t="inlineStr">
        <is>
          <t>3:</t>
        </is>
      </c>
      <c r="L12" s="109" t="n"/>
      <c r="M12" s="110" t="n"/>
      <c r="N12" s="116" t="n"/>
      <c r="O12" s="185" t="n"/>
    </row>
    <row r="13" outlineLevel="1" ht="6.75" customHeight="1" s="59" thickBot="1">
      <c r="D13" s="112" t="n"/>
      <c r="E13" s="112" t="n"/>
      <c r="F13" s="112" t="n"/>
      <c r="H13" s="100" t="n"/>
      <c r="I13" s="100" t="n"/>
      <c r="J13" s="100" t="n"/>
      <c r="L13" s="112" t="n"/>
      <c r="M13" s="112" t="n"/>
      <c r="N13" s="112" t="n"/>
      <c r="O13" s="104" t="n"/>
    </row>
    <row r="14" outlineLevel="1" ht="24" customHeight="1" s="59">
      <c r="B14" s="73" t="inlineStr">
        <is>
          <t>SEFA (Social Enterprise Finance Australia)</t>
        </is>
      </c>
      <c r="C14" s="77" t="inlineStr">
        <is>
          <t>Hannah Ebeling (CEO) — open by email</t>
        </is>
      </c>
      <c r="D14" s="105" t="n"/>
      <c r="E14" s="106" t="n"/>
      <c r="F14" s="106" t="n"/>
      <c r="G14" s="75" t="inlineStr">
        <is>
          <t>Most recent:</t>
        </is>
      </c>
      <c r="H14" s="76" t="n"/>
      <c r="I14" s="76" t="n"/>
      <c r="J14" s="99" t="n"/>
      <c r="K14" s="74" t="inlineStr">
        <is>
          <t>1:</t>
        </is>
      </c>
      <c r="L14" s="105" t="n"/>
      <c r="M14" s="106" t="n"/>
      <c r="N14" s="114" t="n"/>
      <c r="O14" s="137" t="n"/>
    </row>
    <row r="15" outlineLevel="1" ht="24" customHeight="1" s="59">
      <c r="B15" s="78" t="inlineStr">
        <is>
          <t>CDFI or DFI</t>
        </is>
      </c>
      <c r="C15" s="31" t="inlineStr">
        <is>
          <t>2:</t>
        </is>
      </c>
      <c r="D15" s="107" t="n"/>
      <c r="E15" s="108" t="n"/>
      <c r="F15" s="108" t="n"/>
      <c r="G15" s="98" t="inlineStr">
        <is>
          <t>Historic:</t>
        </is>
      </c>
      <c r="H15" s="179" t="n"/>
      <c r="I15" s="180" t="n"/>
      <c r="J15" s="181" t="n"/>
      <c r="K15" s="31" t="inlineStr">
        <is>
          <t>2:</t>
        </is>
      </c>
      <c r="L15" s="107" t="n"/>
      <c r="M15" s="108" t="n"/>
      <c r="N15" s="115" t="n"/>
      <c r="O15" s="182" t="n"/>
    </row>
    <row r="16" outlineLevel="1" ht="24" customHeight="1" s="59" thickBot="1">
      <c r="B16" s="79" t="inlineStr">
        <is>
          <t>sefa.com.au</t>
        </is>
      </c>
      <c r="C16" s="82" t="inlineStr">
        <is>
          <t>3:</t>
        </is>
      </c>
      <c r="D16" s="109" t="n"/>
      <c r="E16" s="110" t="n"/>
      <c r="F16" s="110" t="n"/>
      <c r="G16" s="81" t="n"/>
      <c r="H16" s="183" t="n"/>
      <c r="I16" s="183" t="n"/>
      <c r="J16" s="184" t="n"/>
      <c r="K16" s="82" t="inlineStr">
        <is>
          <t>3:</t>
        </is>
      </c>
      <c r="L16" s="109" t="n"/>
      <c r="M16" s="110" t="n"/>
      <c r="N16" s="116" t="n"/>
      <c r="O16" s="185" t="n"/>
    </row>
    <row r="17" outlineLevel="1" ht="6" customHeight="1" s="59" thickBot="1">
      <c r="D17" s="112" t="n"/>
      <c r="E17" s="112" t="n"/>
      <c r="F17" s="112" t="n"/>
      <c r="H17" s="100" t="n"/>
      <c r="I17" s="100" t="n"/>
      <c r="J17" s="100" t="n"/>
      <c r="L17" s="112" t="n"/>
      <c r="M17" s="112" t="n"/>
      <c r="N17" s="112" t="n"/>
      <c r="O17" s="104" t="n"/>
    </row>
    <row r="18" outlineLevel="1" ht="24" customHeight="1" s="59">
      <c r="B18" s="73" t="inlineStr">
        <is>
          <t>IBA (Indigenous Business Australia)</t>
        </is>
      </c>
      <c r="C18" s="77" t="inlineStr">
        <is>
          <t>(business plan pathway; Nicholas)</t>
        </is>
      </c>
      <c r="D18" s="105" t="n"/>
      <c r="E18" s="106" t="n"/>
      <c r="F18" s="106" t="n"/>
      <c r="G18" s="75" t="inlineStr">
        <is>
          <t>Most recent:</t>
        </is>
      </c>
      <c r="H18" s="76" t="n"/>
      <c r="I18" s="76" t="n"/>
      <c r="J18" s="99" t="n"/>
      <c r="K18" s="77" t="inlineStr">
        <is>
          <t>1:</t>
        </is>
      </c>
      <c r="L18" s="105" t="n"/>
      <c r="M18" s="106" t="n"/>
      <c r="N18" s="114" t="n"/>
      <c r="O18" s="137" t="n"/>
    </row>
    <row r="19" outlineLevel="1" ht="24" customHeight="1" s="59">
      <c r="B19" s="78" t="inlineStr">
        <is>
          <t>Government</t>
        </is>
      </c>
      <c r="C19" s="31" t="inlineStr">
        <is>
          <t>2:</t>
        </is>
      </c>
      <c r="D19" s="107" t="n"/>
      <c r="E19" s="108" t="n"/>
      <c r="F19" s="108" t="n"/>
      <c r="G19" s="98" t="inlineStr">
        <is>
          <t>Historic:</t>
        </is>
      </c>
      <c r="H19" s="179" t="n"/>
      <c r="I19" s="180" t="n"/>
      <c r="J19" s="181" t="n"/>
      <c r="K19" s="31" t="inlineStr">
        <is>
          <t>2:</t>
        </is>
      </c>
      <c r="L19" s="107" t="n"/>
      <c r="M19" s="108" t="n"/>
      <c r="N19" s="115" t="n"/>
      <c r="O19" s="182" t="n"/>
    </row>
    <row r="20" outlineLevel="1" ht="24" customHeight="1" s="59" thickBot="1">
      <c r="B20" s="79" t="inlineStr">
        <is>
          <t>iba.gov.au</t>
        </is>
      </c>
      <c r="C20" s="82" t="inlineStr">
        <is>
          <t>3:</t>
        </is>
      </c>
      <c r="D20" s="109" t="n"/>
      <c r="E20" s="110" t="n"/>
      <c r="F20" s="110" t="n"/>
      <c r="G20" s="81" t="n"/>
      <c r="H20" s="183" t="n"/>
      <c r="I20" s="183" t="n"/>
      <c r="J20" s="184" t="n"/>
      <c r="K20" s="82" t="inlineStr">
        <is>
          <t>3:</t>
        </is>
      </c>
      <c r="L20" s="109" t="n"/>
      <c r="M20" s="110" t="n"/>
      <c r="N20" s="116" t="n"/>
      <c r="O20" s="185" t="n"/>
    </row>
    <row r="21" outlineLevel="1" ht="9" customHeight="1" s="59" thickBot="1">
      <c r="D21" s="112" t="n"/>
      <c r="E21" s="112" t="n"/>
      <c r="F21" s="112" t="n"/>
      <c r="H21" s="100" t="n"/>
      <c r="I21" s="100" t="n"/>
      <c r="J21" s="100" t="n"/>
      <c r="L21" s="112" t="n"/>
      <c r="M21" s="112" t="n"/>
      <c r="N21" s="112" t="n"/>
      <c r="O21" s="104" t="n"/>
    </row>
    <row r="22" outlineLevel="1" ht="24" customHeight="1" s="59">
      <c r="B22" s="73" t="inlineStr">
        <is>
          <t>PFI (Paul Ramsay Foundation)</t>
        </is>
      </c>
      <c r="C22" s="74" t="inlineStr">
        <is>
          <t>(EOI submitted; awaiting feedback)</t>
        </is>
      </c>
      <c r="D22" s="105" t="n"/>
      <c r="E22" s="106" t="n"/>
      <c r="F22" s="106" t="n"/>
      <c r="G22" s="75" t="inlineStr">
        <is>
          <t>Most recent:</t>
        </is>
      </c>
      <c r="H22" s="76" t="n"/>
      <c r="I22" s="76" t="n"/>
      <c r="J22" s="101" t="n"/>
      <c r="K22" s="77" t="inlineStr">
        <is>
          <t>1:</t>
        </is>
      </c>
      <c r="L22" s="105" t="n"/>
      <c r="M22" s="106" t="n"/>
      <c r="N22" s="114" t="n"/>
      <c r="O22" s="137" t="n"/>
    </row>
    <row r="23" outlineLevel="1" ht="24" customHeight="1" s="59">
      <c r="B23" s="78" t="inlineStr">
        <is>
          <t>Private Foundation</t>
        </is>
      </c>
      <c r="C23" s="39" t="inlineStr">
        <is>
          <t>2:</t>
        </is>
      </c>
      <c r="D23" s="107" t="n"/>
      <c r="E23" s="108" t="n"/>
      <c r="F23" s="108" t="n"/>
      <c r="G23" s="98" t="inlineStr">
        <is>
          <t>Historic:</t>
        </is>
      </c>
      <c r="H23" s="179" t="n"/>
      <c r="I23" s="180" t="n"/>
      <c r="J23" s="181" t="n"/>
      <c r="K23" s="31" t="inlineStr">
        <is>
          <t>2:</t>
        </is>
      </c>
      <c r="L23" s="107" t="n"/>
      <c r="M23" s="108" t="n"/>
      <c r="N23" s="115" t="n"/>
      <c r="O23" s="182" t="n"/>
    </row>
    <row r="24" outlineLevel="1" ht="24" customHeight="1" s="59" thickBot="1">
      <c r="B24" s="79" t="inlineStr">
        <is>
          <t>paulramsayfoundation.org.au</t>
        </is>
      </c>
      <c r="C24" s="80" t="inlineStr">
        <is>
          <t>3:</t>
        </is>
      </c>
      <c r="D24" s="109" t="n"/>
      <c r="E24" s="110" t="n"/>
      <c r="F24" s="110" t="n"/>
      <c r="G24" s="81" t="n"/>
      <c r="H24" s="183" t="n"/>
      <c r="I24" s="183" t="n"/>
      <c r="J24" s="184" t="n"/>
      <c r="K24" s="82" t="inlineStr">
        <is>
          <t>3:</t>
        </is>
      </c>
      <c r="L24" s="109" t="n"/>
      <c r="M24" s="110" t="n"/>
      <c r="N24" s="116" t="n"/>
      <c r="O24" s="185" t="n"/>
    </row>
    <row r="25" outlineLevel="1" ht="9" customHeight="1" s="59" thickBot="1">
      <c r="D25" s="112" t="n"/>
      <c r="E25" s="112" t="n"/>
      <c r="F25" s="112" t="n"/>
      <c r="H25" s="100" t="n"/>
      <c r="I25" s="100" t="n"/>
      <c r="J25" s="100" t="n"/>
      <c r="L25" s="112" t="n"/>
      <c r="M25" s="112" t="n"/>
      <c r="N25" s="112" t="n"/>
      <c r="O25" s="104" t="n"/>
    </row>
    <row r="26" outlineLevel="1" ht="24" customHeight="1" s="59">
      <c r="B26" s="73" t="inlineStr">
        <is>
          <t>First Australians Capital</t>
        </is>
      </c>
      <c r="C26" s="74" t="inlineStr">
        <is>
          <t>(intro via IBA / SIH)</t>
        </is>
      </c>
      <c r="D26" s="105" t="n"/>
      <c r="E26" s="106" t="n"/>
      <c r="F26" s="106" t="n"/>
      <c r="G26" s="75" t="inlineStr">
        <is>
          <t>Most recent:</t>
        </is>
      </c>
      <c r="H26" s="76" t="n"/>
      <c r="I26" s="76" t="n"/>
      <c r="J26" s="101" t="n"/>
      <c r="K26" s="77" t="inlineStr">
        <is>
          <t>1:</t>
        </is>
      </c>
      <c r="L26" s="105" t="n"/>
      <c r="M26" s="106" t="n"/>
      <c r="N26" s="114" t="n"/>
      <c r="O26" s="137" t="n"/>
    </row>
    <row r="27" outlineLevel="1" ht="24" customHeight="1" s="59">
      <c r="B27" s="78" t="inlineStr">
        <is>
          <t>CDFI or DFI</t>
        </is>
      </c>
      <c r="C27" s="39" t="inlineStr">
        <is>
          <t>2:</t>
        </is>
      </c>
      <c r="D27" s="107" t="n"/>
      <c r="E27" s="108" t="n"/>
      <c r="F27" s="108" t="n"/>
      <c r="G27" s="98" t="inlineStr">
        <is>
          <t>Historic:</t>
        </is>
      </c>
      <c r="H27" s="179" t="n"/>
      <c r="I27" s="180" t="n"/>
      <c r="J27" s="181" t="n"/>
      <c r="K27" s="31" t="inlineStr">
        <is>
          <t>2:</t>
        </is>
      </c>
      <c r="L27" s="107" t="n"/>
      <c r="M27" s="108" t="n"/>
      <c r="N27" s="115" t="n"/>
      <c r="O27" s="182" t="n"/>
    </row>
    <row r="28" outlineLevel="1" ht="24" customHeight="1" s="59" thickBot="1">
      <c r="B28" s="79" t="inlineStr">
        <is>
          <t>firstaustralianscapital.org</t>
        </is>
      </c>
      <c r="C28" s="80" t="inlineStr">
        <is>
          <t>3:</t>
        </is>
      </c>
      <c r="D28" s="109" t="n"/>
      <c r="E28" s="110" t="n"/>
      <c r="F28" s="110" t="n"/>
      <c r="G28" s="81" t="n"/>
      <c r="H28" s="183" t="n"/>
      <c r="I28" s="183" t="n"/>
      <c r="J28" s="184" t="n"/>
      <c r="K28" s="82" t="inlineStr">
        <is>
          <t>3:</t>
        </is>
      </c>
      <c r="L28" s="109" t="n"/>
      <c r="M28" s="110" t="n"/>
      <c r="N28" s="116" t="n"/>
      <c r="O28" s="185" t="n"/>
    </row>
    <row r="29" outlineLevel="1" ht="9" customHeight="1" s="59" thickBot="1">
      <c r="D29" s="112" t="n"/>
      <c r="E29" s="112" t="n"/>
      <c r="F29" s="112" t="n"/>
      <c r="H29" s="100" t="n"/>
      <c r="I29" s="100" t="n"/>
      <c r="J29" s="100" t="n"/>
      <c r="L29" s="112" t="n"/>
      <c r="M29" s="112" t="n"/>
      <c r="N29" s="112" t="n"/>
      <c r="O29" s="104" t="n"/>
    </row>
    <row r="30" outlineLevel="1" ht="24" customHeight="1" s="59">
      <c r="B30" s="73" t="inlineStr">
        <is>
          <t>Minderoo Foundation</t>
        </is>
      </c>
      <c r="C30" s="74" t="inlineStr">
        <is>
          <t>Lucy Stronach</t>
        </is>
      </c>
      <c r="D30" s="105" t="n"/>
      <c r="E30" s="106" t="inlineStr">
        <is>
          <t>lstronach@minderoo.org</t>
        </is>
      </c>
      <c r="F30" s="106" t="n"/>
      <c r="G30" s="75" t="inlineStr">
        <is>
          <t>Most recent:</t>
        </is>
      </c>
      <c r="H30" s="76" t="n"/>
      <c r="I30" s="76" t="n"/>
      <c r="J30" s="101" t="n"/>
      <c r="K30" s="77" t="inlineStr">
        <is>
          <t>1:</t>
        </is>
      </c>
      <c r="L30" s="105" t="n"/>
      <c r="M30" s="106" t="n"/>
      <c r="N30" s="114" t="n"/>
      <c r="O30" s="137" t="n"/>
    </row>
    <row r="31" outlineLevel="1" ht="24" customHeight="1" s="59">
      <c r="B31" s="78" t="inlineStr">
        <is>
          <t>Private Foundation</t>
        </is>
      </c>
      <c r="C31" s="39" t="inlineStr">
        <is>
          <t>2:</t>
        </is>
      </c>
      <c r="D31" s="107" t="n"/>
      <c r="E31" s="108" t="n"/>
      <c r="F31" s="108" t="n"/>
      <c r="G31" s="98" t="inlineStr">
        <is>
          <t>Historic:</t>
        </is>
      </c>
      <c r="H31" s="179" t="n"/>
      <c r="I31" s="180" t="n"/>
      <c r="J31" s="181" t="n"/>
      <c r="K31" s="31" t="inlineStr">
        <is>
          <t>2:</t>
        </is>
      </c>
      <c r="L31" s="107" t="n"/>
      <c r="M31" s="108" t="n"/>
      <c r="N31" s="115" t="n"/>
      <c r="O31" s="182" t="n"/>
    </row>
    <row r="32" outlineLevel="1" ht="24" customHeight="1" s="59" thickBot="1">
      <c r="B32" s="79" t="inlineStr">
        <is>
          <t>minderoo.org</t>
        </is>
      </c>
      <c r="C32" s="80" t="inlineStr">
        <is>
          <t>3:</t>
        </is>
      </c>
      <c r="D32" s="109" t="n"/>
      <c r="E32" s="110" t="n"/>
      <c r="F32" s="110" t="n"/>
      <c r="G32" s="81" t="n"/>
      <c r="H32" s="183" t="n"/>
      <c r="I32" s="183" t="n"/>
      <c r="J32" s="184" t="n"/>
      <c r="K32" s="82" t="inlineStr">
        <is>
          <t>3:</t>
        </is>
      </c>
      <c r="L32" s="109" t="n"/>
      <c r="M32" s="110" t="n"/>
      <c r="N32" s="116" t="n"/>
      <c r="O32" s="185" t="n"/>
    </row>
    <row r="33" outlineLevel="1" ht="9" customHeight="1" s="59" thickBot="1">
      <c r="D33" s="112" t="n"/>
      <c r="E33" s="112" t="n"/>
      <c r="F33" s="112" t="n"/>
      <c r="H33" s="100" t="n"/>
      <c r="I33" s="100" t="n"/>
      <c r="J33" s="100" t="n"/>
      <c r="L33" s="112" t="n"/>
      <c r="M33" s="112" t="n"/>
      <c r="N33" s="112" t="n"/>
      <c r="O33" s="104" t="n"/>
    </row>
    <row r="34" outlineLevel="1" ht="24" customHeight="1" s="59">
      <c r="B34" s="73" t="inlineStr">
        <is>
          <t>Tim Fairfax Family Foundation</t>
        </is>
      </c>
      <c r="C34" s="74" t="inlineStr">
        <is>
          <t>Katie Norman</t>
        </is>
      </c>
      <c r="D34" s="105" t="n"/>
      <c r="E34" s="106" t="n"/>
      <c r="F34" s="106" t="n"/>
      <c r="G34" s="75" t="inlineStr">
        <is>
          <t>Most recent:</t>
        </is>
      </c>
      <c r="H34" s="76" t="n"/>
      <c r="I34" s="76" t="n"/>
      <c r="J34" s="101" t="n"/>
      <c r="K34" s="77" t="inlineStr">
        <is>
          <t>1:</t>
        </is>
      </c>
      <c r="L34" s="105" t="n"/>
      <c r="M34" s="106" t="n"/>
      <c r="N34" s="114" t="n"/>
      <c r="O34" s="137" t="n"/>
    </row>
    <row r="35" outlineLevel="1" ht="24" customHeight="1" s="59">
      <c r="B35" s="78" t="inlineStr">
        <is>
          <t>Community or Family Foundation</t>
        </is>
      </c>
      <c r="C35" s="39" t="inlineStr">
        <is>
          <t>2:</t>
        </is>
      </c>
      <c r="D35" s="107" t="n"/>
      <c r="E35" s="108" t="n"/>
      <c r="F35" s="108" t="n"/>
      <c r="G35" s="98" t="inlineStr">
        <is>
          <t>Historic:</t>
        </is>
      </c>
      <c r="H35" s="179" t="n"/>
      <c r="I35" s="180" t="n"/>
      <c r="J35" s="181" t="n"/>
      <c r="K35" s="31" t="inlineStr">
        <is>
          <t>2:</t>
        </is>
      </c>
      <c r="L35" s="107" t="n"/>
      <c r="M35" s="108" t="n"/>
      <c r="N35" s="115" t="n"/>
      <c r="O35" s="182" t="n"/>
    </row>
    <row r="36" outlineLevel="1" ht="24" customHeight="1" s="59" thickBot="1">
      <c r="B36" s="79" t="inlineStr">
        <is>
          <t>timfairfax.com.au</t>
        </is>
      </c>
      <c r="C36" s="80" t="inlineStr">
        <is>
          <t>3:</t>
        </is>
      </c>
      <c r="D36" s="109" t="n"/>
      <c r="E36" s="110" t="n"/>
      <c r="F36" s="110" t="n"/>
      <c r="G36" s="81" t="n"/>
      <c r="H36" s="183" t="n"/>
      <c r="I36" s="183" t="n"/>
      <c r="J36" s="184" t="n"/>
      <c r="K36" s="82" t="inlineStr">
        <is>
          <t>3:</t>
        </is>
      </c>
      <c r="L36" s="109" t="n"/>
      <c r="M36" s="110" t="n"/>
      <c r="N36" s="116" t="n"/>
      <c r="O36" s="185" t="n"/>
    </row>
    <row r="37" ht="15" customHeight="1" s="59">
      <c r="B37" s="56" t="n"/>
      <c r="C37" s="57" t="n"/>
      <c r="D37" s="112" t="n"/>
      <c r="E37" s="112" t="n"/>
      <c r="F37" s="112" t="n"/>
      <c r="H37" s="98" t="n"/>
      <c r="I37" s="98" t="n"/>
      <c r="J37" s="98" t="n"/>
      <c r="K37" s="57" t="n"/>
      <c r="L37" s="112" t="n"/>
      <c r="M37" s="112" t="n"/>
      <c r="N37" s="117" t="n"/>
      <c r="O37" s="98" t="n"/>
    </row>
    <row r="38" ht="9" customHeight="1" s="59">
      <c r="B38" t="inlineStr">
        <is>
          <t>Dusseldorp Forum</t>
        </is>
      </c>
      <c r="C38" t="inlineStr">
        <is>
          <t>Teya Dusseldorp / Jess Wilson (NOT a Goods funder)</t>
        </is>
      </c>
      <c r="D38" s="112" t="n"/>
      <c r="E38" s="112" t="n"/>
      <c r="F38" s="112" t="n"/>
      <c r="H38" s="100" t="n"/>
      <c r="I38" s="100" t="n"/>
      <c r="J38" s="100" t="n"/>
      <c r="L38" s="112" t="n"/>
      <c r="M38" s="112" t="n"/>
      <c r="N38" s="112" t="n"/>
      <c r="O38" s="104" t="n"/>
    </row>
    <row r="39" hidden="1" outlineLevel="1" ht="24" customHeight="1" s="59">
      <c r="B39" s="73" t="inlineStr">
        <is>
          <t>Private Foundation</t>
        </is>
      </c>
      <c r="C39" s="74" t="inlineStr">
        <is>
          <t>1:</t>
        </is>
      </c>
      <c r="D39" s="105" t="n"/>
      <c r="E39" s="106" t="n"/>
      <c r="F39" s="106" t="n"/>
      <c r="G39" s="75" t="inlineStr">
        <is>
          <t>Most recent:</t>
        </is>
      </c>
      <c r="H39" s="76" t="n"/>
      <c r="I39" s="76" t="n"/>
      <c r="J39" s="101" t="n"/>
      <c r="K39" s="77" t="inlineStr">
        <is>
          <t>1:</t>
        </is>
      </c>
      <c r="L39" s="105" t="n"/>
      <c r="M39" s="106" t="n"/>
      <c r="N39" s="114" t="n"/>
      <c r="O39" s="137" t="n"/>
    </row>
    <row r="40" hidden="1" outlineLevel="1" ht="24" customHeight="1" s="59">
      <c r="B40" s="78" t="inlineStr">
        <is>
          <t>dusseldorp.org.au</t>
        </is>
      </c>
      <c r="C40" s="39" t="inlineStr">
        <is>
          <t>2:</t>
        </is>
      </c>
      <c r="D40" s="107" t="n"/>
      <c r="E40" s="108" t="n"/>
      <c r="F40" s="108" t="n"/>
      <c r="G40" s="98" t="inlineStr">
        <is>
          <t>Historic:</t>
        </is>
      </c>
      <c r="H40" s="179" t="n"/>
      <c r="I40" s="180" t="n"/>
      <c r="J40" s="181" t="n"/>
      <c r="K40" s="31" t="inlineStr">
        <is>
          <t>2:</t>
        </is>
      </c>
      <c r="L40" s="107" t="n"/>
      <c r="M40" s="108" t="n"/>
      <c r="N40" s="115" t="n"/>
      <c r="O40" s="182" t="n"/>
    </row>
    <row r="41" hidden="1" outlineLevel="1" ht="24" customHeight="1" s="59" thickBot="1">
      <c r="B41" s="79" t="inlineStr">
        <is>
          <t>[Enter Website]</t>
        </is>
      </c>
      <c r="C41" s="80" t="inlineStr">
        <is>
          <t>3:</t>
        </is>
      </c>
      <c r="D41" s="109" t="n"/>
      <c r="E41" s="110" t="n"/>
      <c r="F41" s="110" t="n"/>
      <c r="G41" s="81" t="n"/>
      <c r="H41" s="183" t="n"/>
      <c r="I41" s="183" t="n"/>
      <c r="J41" s="184" t="n"/>
      <c r="K41" s="82" t="inlineStr">
        <is>
          <t>3:</t>
        </is>
      </c>
      <c r="L41" s="109" t="n"/>
      <c r="M41" s="110" t="n"/>
      <c r="N41" s="116" t="n"/>
      <c r="O41" s="185" t="n"/>
    </row>
    <row r="42" hidden="1" outlineLevel="1" ht="9" customHeight="1" s="59" thickBot="1">
      <c r="B42" t="inlineStr">
        <is>
          <t>TFN (The Funding Network)</t>
        </is>
      </c>
      <c r="C42" t="inlineStr">
        <is>
          <t>(alumni-network connector)</t>
        </is>
      </c>
      <c r="D42" s="112" t="n"/>
      <c r="E42" s="112" t="n"/>
      <c r="F42" s="112" t="n"/>
      <c r="H42" s="100" t="n"/>
      <c r="I42" s="100" t="n"/>
      <c r="J42" s="100" t="n"/>
      <c r="L42" s="112" t="n"/>
      <c r="M42" s="112" t="n"/>
      <c r="N42" s="112" t="n"/>
      <c r="O42" s="104" t="n"/>
    </row>
    <row r="43" hidden="1" outlineLevel="1" ht="24" customHeight="1" s="59">
      <c r="B43" s="73" t="inlineStr">
        <is>
          <t>Crowdfunding platform</t>
        </is>
      </c>
      <c r="C43" s="74" t="inlineStr">
        <is>
          <t>1:</t>
        </is>
      </c>
      <c r="D43" s="105" t="n"/>
      <c r="E43" s="106" t="n"/>
      <c r="F43" s="106" t="n"/>
      <c r="G43" s="75" t="inlineStr">
        <is>
          <t>Most recent:</t>
        </is>
      </c>
      <c r="H43" s="76" t="n"/>
      <c r="I43" s="76" t="n"/>
      <c r="J43" s="101" t="n"/>
      <c r="K43" s="77" t="inlineStr">
        <is>
          <t>1:</t>
        </is>
      </c>
      <c r="L43" s="105" t="n"/>
      <c r="M43" s="106" t="n"/>
      <c r="N43" s="114" t="n"/>
      <c r="O43" s="137" t="n"/>
    </row>
    <row r="44" hidden="1" outlineLevel="1" ht="24" customHeight="1" s="59">
      <c r="B44" s="78" t="inlineStr">
        <is>
          <t>thefundingnetwork.com.au</t>
        </is>
      </c>
      <c r="C44" s="39" t="inlineStr">
        <is>
          <t>2:</t>
        </is>
      </c>
      <c r="D44" s="107" t="n"/>
      <c r="E44" s="108" t="n"/>
      <c r="F44" s="108" t="n"/>
      <c r="G44" s="98" t="inlineStr">
        <is>
          <t>Historic:</t>
        </is>
      </c>
      <c r="H44" s="179" t="n"/>
      <c r="I44" s="180" t="n"/>
      <c r="J44" s="181" t="n"/>
      <c r="K44" s="31" t="inlineStr">
        <is>
          <t>2:</t>
        </is>
      </c>
      <c r="L44" s="107" t="n"/>
      <c r="M44" s="108" t="n"/>
      <c r="N44" s="115" t="n"/>
      <c r="O44" s="182" t="n"/>
    </row>
    <row r="45" hidden="1" outlineLevel="1" ht="24" customHeight="1" s="59" thickBot="1">
      <c r="B45" s="79" t="inlineStr">
        <is>
          <t>[Enter Website]</t>
        </is>
      </c>
      <c r="C45" s="80" t="inlineStr">
        <is>
          <t>3:</t>
        </is>
      </c>
      <c r="D45" s="109" t="n"/>
      <c r="E45" s="110" t="n"/>
      <c r="F45" s="110" t="n"/>
      <c r="G45" s="81" t="n"/>
      <c r="H45" s="183" t="n"/>
      <c r="I45" s="183" t="n"/>
      <c r="J45" s="184" t="n"/>
      <c r="K45" s="82" t="inlineStr">
        <is>
          <t>3:</t>
        </is>
      </c>
      <c r="L45" s="109" t="n"/>
      <c r="M45" s="110" t="n"/>
      <c r="N45" s="116" t="n"/>
      <c r="O45" s="185" t="n"/>
    </row>
    <row r="46" hidden="1" outlineLevel="1" ht="9" customHeight="1" s="59" thickBot="1">
      <c r="B46" t="inlineStr">
        <is>
          <t>FRRR (Foundation for Rural &amp; Regional Renewal)</t>
        </is>
      </c>
      <c r="C46" t="inlineStr">
        <is>
          <t>Steph Pearson</t>
        </is>
      </c>
      <c r="D46" s="112" t="n"/>
      <c r="E46" s="112" t="inlineStr">
        <is>
          <t>s.pearson@frrr.org.au</t>
        </is>
      </c>
      <c r="F46" s="112" t="n"/>
      <c r="H46" s="100" t="n"/>
      <c r="I46" s="100" t="n"/>
      <c r="J46" s="100" t="n"/>
      <c r="L46" s="112" t="n"/>
      <c r="M46" s="112" t="n"/>
      <c r="N46" s="112" t="n"/>
      <c r="O46" s="104" t="n"/>
    </row>
    <row r="47" hidden="1" outlineLevel="1" ht="24" customHeight="1" s="59">
      <c r="B47" s="73" t="inlineStr">
        <is>
          <t>Community or Family Foundation</t>
        </is>
      </c>
      <c r="C47" s="74" t="inlineStr">
        <is>
          <t>1:</t>
        </is>
      </c>
      <c r="D47" s="105" t="n"/>
      <c r="E47" s="106" t="n"/>
      <c r="F47" s="106" t="n"/>
      <c r="G47" s="75" t="inlineStr">
        <is>
          <t>Most recent:</t>
        </is>
      </c>
      <c r="H47" s="76" t="n"/>
      <c r="I47" s="76" t="n"/>
      <c r="J47" s="101" t="n"/>
      <c r="K47" s="77" t="inlineStr">
        <is>
          <t>1:</t>
        </is>
      </c>
      <c r="L47" s="105" t="n"/>
      <c r="M47" s="106" t="n"/>
      <c r="N47" s="114" t="n"/>
      <c r="O47" s="137" t="n"/>
    </row>
    <row r="48" hidden="1" outlineLevel="1" ht="24" customHeight="1" s="59">
      <c r="B48" s="78" t="inlineStr">
        <is>
          <t>frrr.org.au</t>
        </is>
      </c>
      <c r="C48" s="39" t="inlineStr">
        <is>
          <t>2:</t>
        </is>
      </c>
      <c r="D48" s="107" t="n"/>
      <c r="E48" s="108" t="n"/>
      <c r="F48" s="108" t="n"/>
      <c r="G48" s="98" t="inlineStr">
        <is>
          <t>Historic:</t>
        </is>
      </c>
      <c r="H48" s="179" t="n"/>
      <c r="I48" s="180" t="n"/>
      <c r="J48" s="181" t="n"/>
      <c r="K48" s="31" t="inlineStr">
        <is>
          <t>2:</t>
        </is>
      </c>
      <c r="L48" s="107" t="n"/>
      <c r="M48" s="108" t="n"/>
      <c r="N48" s="115" t="n"/>
      <c r="O48" s="182" t="n"/>
    </row>
    <row r="49" hidden="1" outlineLevel="1" ht="24" customHeight="1" s="59" thickBot="1">
      <c r="B49" s="79" t="inlineStr">
        <is>
          <t>[Enter Website]</t>
        </is>
      </c>
      <c r="C49" s="80" t="inlineStr">
        <is>
          <t>3:</t>
        </is>
      </c>
      <c r="D49" s="109" t="n"/>
      <c r="E49" s="110" t="n"/>
      <c r="F49" s="110" t="n"/>
      <c r="G49" s="81" t="n"/>
      <c r="H49" s="183" t="n"/>
      <c r="I49" s="183" t="n"/>
      <c r="J49" s="184" t="n"/>
      <c r="K49" s="82" t="inlineStr">
        <is>
          <t>3:</t>
        </is>
      </c>
      <c r="L49" s="109" t="n"/>
      <c r="M49" s="110" t="n"/>
      <c r="N49" s="116" t="n"/>
      <c r="O49" s="185" t="n"/>
    </row>
    <row r="50" hidden="1" outlineLevel="1" ht="9" customHeight="1" s="59" thickBot="1">
      <c r="B50" t="inlineStr">
        <is>
          <t>VFFF (Vincent Fairfax Family Foundation)</t>
        </is>
      </c>
      <c r="C50" t="inlineStr">
        <is>
          <t>N. Chinner / E. Schwanke</t>
        </is>
      </c>
      <c r="D50" s="112" t="n"/>
      <c r="E50" s="112" t="inlineStr">
        <is>
          <t>nchinner@vfff.org.au</t>
        </is>
      </c>
      <c r="F50" s="112" t="n"/>
      <c r="H50" s="100" t="n"/>
      <c r="I50" s="100" t="n"/>
      <c r="J50" s="100" t="n"/>
      <c r="L50" s="112" t="n"/>
      <c r="M50" s="112" t="n"/>
      <c r="N50" s="112" t="n"/>
      <c r="O50" s="104" t="n"/>
    </row>
    <row r="51" hidden="1" outlineLevel="1" ht="24" customHeight="1" s="59">
      <c r="B51" s="73" t="inlineStr">
        <is>
          <t>Community or Family Foundation</t>
        </is>
      </c>
      <c r="C51" s="74" t="inlineStr">
        <is>
          <t>1:</t>
        </is>
      </c>
      <c r="D51" s="105" t="n"/>
      <c r="E51" s="106" t="n"/>
      <c r="F51" s="106" t="n"/>
      <c r="G51" s="75" t="inlineStr">
        <is>
          <t>Most recent:</t>
        </is>
      </c>
      <c r="H51" s="76" t="n"/>
      <c r="I51" s="76" t="n"/>
      <c r="J51" s="101" t="n"/>
      <c r="K51" s="77" t="inlineStr">
        <is>
          <t>1:</t>
        </is>
      </c>
      <c r="L51" s="105" t="n"/>
      <c r="M51" s="106" t="n"/>
      <c r="N51" s="114" t="n"/>
      <c r="O51" s="137" t="n"/>
    </row>
    <row r="52" hidden="1" outlineLevel="1" ht="24" customHeight="1" s="59">
      <c r="B52" s="78" t="inlineStr">
        <is>
          <t>vfff.org.au</t>
        </is>
      </c>
      <c r="C52" s="39" t="inlineStr">
        <is>
          <t>2:</t>
        </is>
      </c>
      <c r="D52" s="107" t="n"/>
      <c r="E52" s="108" t="n"/>
      <c r="F52" s="108" t="n"/>
      <c r="G52" s="98" t="inlineStr">
        <is>
          <t>Historic:</t>
        </is>
      </c>
      <c r="H52" s="179" t="n"/>
      <c r="I52" s="180" t="n"/>
      <c r="J52" s="181" t="n"/>
      <c r="K52" s="31" t="inlineStr">
        <is>
          <t>2:</t>
        </is>
      </c>
      <c r="L52" s="107" t="n"/>
      <c r="M52" s="108" t="n"/>
      <c r="N52" s="115" t="n"/>
      <c r="O52" s="182" t="n"/>
    </row>
    <row r="53" hidden="1" outlineLevel="1" ht="24" customHeight="1" s="59" thickBot="1">
      <c r="B53" s="79" t="inlineStr">
        <is>
          <t>[Enter Website]</t>
        </is>
      </c>
      <c r="C53" s="80" t="inlineStr">
        <is>
          <t>3:</t>
        </is>
      </c>
      <c r="D53" s="109" t="n"/>
      <c r="E53" s="110" t="n"/>
      <c r="F53" s="110" t="n"/>
      <c r="G53" s="81" t="n"/>
      <c r="H53" s="183" t="n"/>
      <c r="I53" s="183" t="n"/>
      <c r="J53" s="184" t="n"/>
      <c r="K53" s="82" t="inlineStr">
        <is>
          <t>3:</t>
        </is>
      </c>
      <c r="L53" s="109" t="n"/>
      <c r="M53" s="110" t="n"/>
      <c r="N53" s="116" t="n"/>
      <c r="O53" s="185" t="n"/>
    </row>
    <row r="54" hidden="1" outlineLevel="1" ht="9" customHeight="1" s="59" thickBot="1">
      <c r="B54" t="inlineStr">
        <is>
          <t>AMP Foundation (Spark)</t>
        </is>
      </c>
      <c r="C54" t="inlineStr">
        <is>
          <t>(confirm purpose / alumni pathway)</t>
        </is>
      </c>
      <c r="D54" s="112" t="n"/>
      <c r="E54" s="112" t="n"/>
      <c r="F54" s="112" t="n"/>
      <c r="H54" s="100" t="n"/>
      <c r="I54" s="100" t="n"/>
      <c r="J54" s="100" t="n"/>
      <c r="L54" s="112" t="n"/>
      <c r="M54" s="112" t="n"/>
      <c r="N54" s="112" t="n"/>
      <c r="O54" s="104" t="n"/>
    </row>
    <row r="55" hidden="1" outlineLevel="1" ht="24" customHeight="1" s="59">
      <c r="B55" s="73" t="inlineStr">
        <is>
          <t>Private Foundation</t>
        </is>
      </c>
      <c r="C55" s="74" t="inlineStr">
        <is>
          <t>1:</t>
        </is>
      </c>
      <c r="D55" s="105" t="n"/>
      <c r="E55" s="106" t="n"/>
      <c r="F55" s="106" t="n"/>
      <c r="G55" s="75" t="inlineStr">
        <is>
          <t>Most recent:</t>
        </is>
      </c>
      <c r="H55" s="76" t="n"/>
      <c r="I55" s="76" t="n"/>
      <c r="J55" s="101" t="n"/>
      <c r="K55" s="77" t="inlineStr">
        <is>
          <t>1:</t>
        </is>
      </c>
      <c r="L55" s="105" t="n"/>
      <c r="M55" s="106" t="n"/>
      <c r="N55" s="114" t="n"/>
      <c r="O55" s="137" t="n"/>
    </row>
    <row r="56" hidden="1" outlineLevel="1" ht="24" customHeight="1" s="59">
      <c r="B56" s="78" t="inlineStr">
        <is>
          <t>ampfoundation.org.au</t>
        </is>
      </c>
      <c r="C56" s="39" t="inlineStr">
        <is>
          <t>2:</t>
        </is>
      </c>
      <c r="D56" s="107" t="n"/>
      <c r="E56" s="108" t="n"/>
      <c r="F56" s="108" t="n"/>
      <c r="G56" s="98" t="inlineStr">
        <is>
          <t>Historic:</t>
        </is>
      </c>
      <c r="H56" s="179" t="n"/>
      <c r="I56" s="180" t="n"/>
      <c r="J56" s="181" t="n"/>
      <c r="K56" s="31" t="inlineStr">
        <is>
          <t>2:</t>
        </is>
      </c>
      <c r="L56" s="107" t="n"/>
      <c r="M56" s="108" t="n"/>
      <c r="N56" s="115" t="n"/>
      <c r="O56" s="182" t="n"/>
    </row>
    <row r="57" hidden="1" outlineLevel="1" ht="24" customHeight="1" s="59" thickBot="1">
      <c r="B57" s="79" t="inlineStr">
        <is>
          <t>[Enter Website]</t>
        </is>
      </c>
      <c r="C57" s="80" t="inlineStr">
        <is>
          <t>3:</t>
        </is>
      </c>
      <c r="D57" s="109" t="n"/>
      <c r="E57" s="110" t="n"/>
      <c r="F57" s="110" t="n"/>
      <c r="G57" s="81" t="n"/>
      <c r="H57" s="183" t="n"/>
      <c r="I57" s="183" t="n"/>
      <c r="J57" s="184" t="n"/>
      <c r="K57" s="82" t="inlineStr">
        <is>
          <t>3:</t>
        </is>
      </c>
      <c r="L57" s="109" t="n"/>
      <c r="M57" s="110" t="n"/>
      <c r="N57" s="116" t="n"/>
      <c r="O57" s="185" t="n"/>
    </row>
    <row r="58" hidden="1" outlineLevel="1" ht="9" customHeight="1" s="59" thickBot="1">
      <c r="B58" t="inlineStr">
        <is>
          <t>Centrecorp Foundation</t>
        </is>
      </c>
      <c r="C58" t="inlineStr">
        <is>
          <t>Randle Walker (Jodie on thread)</t>
        </is>
      </c>
      <c r="D58" s="112" t="n"/>
      <c r="E58" s="112" t="n"/>
      <c r="F58" s="112" t="n"/>
      <c r="H58" s="100" t="n"/>
      <c r="I58" s="100" t="n"/>
      <c r="J58" s="100" t="n"/>
      <c r="L58" s="112" t="n"/>
      <c r="M58" s="112" t="n"/>
      <c r="N58" s="112" t="n"/>
      <c r="O58" s="104" t="n"/>
    </row>
    <row r="59" hidden="1" outlineLevel="1" ht="24" customHeight="1" s="59">
      <c r="B59" s="73" t="inlineStr">
        <is>
          <t>Community or Family Foundation</t>
        </is>
      </c>
      <c r="C59" s="74" t="inlineStr">
        <is>
          <t>1:</t>
        </is>
      </c>
      <c r="D59" s="105" t="n"/>
      <c r="E59" s="106" t="n"/>
      <c r="F59" s="106" t="n"/>
      <c r="G59" s="75" t="inlineStr">
        <is>
          <t>Most recent:</t>
        </is>
      </c>
      <c r="H59" s="76" t="n"/>
      <c r="I59" s="76" t="n"/>
      <c r="J59" s="101" t="n"/>
      <c r="K59" s="77" t="inlineStr">
        <is>
          <t>1:</t>
        </is>
      </c>
      <c r="L59" s="105" t="n"/>
      <c r="M59" s="106" t="n"/>
      <c r="N59" s="114" t="n"/>
      <c r="O59" s="137" t="n"/>
    </row>
    <row r="60" hidden="1" outlineLevel="1" ht="24" customHeight="1" s="59">
      <c r="B60" s="78" t="inlineStr">
        <is>
          <t>[website TBC]</t>
        </is>
      </c>
      <c r="C60" s="39" t="inlineStr">
        <is>
          <t>2:</t>
        </is>
      </c>
      <c r="D60" s="107" t="n"/>
      <c r="E60" s="108" t="n"/>
      <c r="F60" s="108" t="n"/>
      <c r="G60" s="98" t="inlineStr">
        <is>
          <t>Historic:</t>
        </is>
      </c>
      <c r="H60" s="179" t="n"/>
      <c r="I60" s="180" t="n"/>
      <c r="J60" s="181" t="n"/>
      <c r="K60" s="31" t="inlineStr">
        <is>
          <t>2:</t>
        </is>
      </c>
      <c r="L60" s="107" t="n"/>
      <c r="M60" s="108" t="n"/>
      <c r="N60" s="115" t="n"/>
      <c r="O60" s="182" t="n"/>
    </row>
    <row r="61" hidden="1" outlineLevel="1" ht="24" customHeight="1" s="59" thickBot="1">
      <c r="B61" s="79" t="inlineStr">
        <is>
          <t>[Enter Website]</t>
        </is>
      </c>
      <c r="C61" s="80" t="inlineStr">
        <is>
          <t>3:</t>
        </is>
      </c>
      <c r="D61" s="109" t="n"/>
      <c r="E61" s="110" t="n"/>
      <c r="F61" s="110" t="n"/>
      <c r="G61" s="81" t="n"/>
      <c r="H61" s="183" t="n"/>
      <c r="I61" s="183" t="n"/>
      <c r="J61" s="184" t="n"/>
      <c r="K61" s="82" t="inlineStr">
        <is>
          <t>3:</t>
        </is>
      </c>
      <c r="L61" s="109" t="n"/>
      <c r="M61" s="110" t="n"/>
      <c r="N61" s="116" t="n"/>
      <c r="O61" s="185" t="n"/>
    </row>
    <row r="62" hidden="1" outlineLevel="1" ht="9" customHeight="1" s="59" thickBot="1">
      <c r="B62" t="inlineStr">
        <is>
          <t>QBE Ventures</t>
        </is>
      </c>
      <c r="C62" t="inlineStr">
        <is>
          <t>(Lighthouse program; deferred to 2027)</t>
        </is>
      </c>
      <c r="D62" s="112" t="n"/>
      <c r="E62" s="112" t="n"/>
      <c r="F62" s="112" t="n"/>
      <c r="H62" s="100" t="n"/>
      <c r="I62" s="100" t="n"/>
      <c r="J62" s="100" t="n"/>
      <c r="L62" s="112" t="n"/>
      <c r="M62" s="112" t="n"/>
      <c r="N62" s="112" t="n"/>
      <c r="O62" s="104" t="n"/>
    </row>
    <row r="63" hidden="1" outlineLevel="1" ht="24" customHeight="1" s="59">
      <c r="B63" s="73" t="inlineStr">
        <is>
          <t>Corporate</t>
        </is>
      </c>
      <c r="C63" s="74" t="inlineStr">
        <is>
          <t>1:</t>
        </is>
      </c>
      <c r="D63" s="105" t="n"/>
      <c r="E63" s="106" t="n"/>
      <c r="F63" s="106" t="n"/>
      <c r="G63" s="75" t="inlineStr">
        <is>
          <t>Most recent:</t>
        </is>
      </c>
      <c r="H63" s="76" t="n"/>
      <c r="I63" s="76" t="n"/>
      <c r="J63" s="101" t="n"/>
      <c r="K63" s="77" t="inlineStr">
        <is>
          <t>1:</t>
        </is>
      </c>
      <c r="L63" s="105" t="n"/>
      <c r="M63" s="106" t="n"/>
      <c r="N63" s="114" t="n"/>
      <c r="O63" s="137" t="n"/>
    </row>
    <row r="64" hidden="1" outlineLevel="1" ht="24" customHeight="1" s="59">
      <c r="B64" s="78" t="inlineStr">
        <is>
          <t>qbeventures.com</t>
        </is>
      </c>
      <c r="C64" s="39" t="inlineStr">
        <is>
          <t>2:</t>
        </is>
      </c>
      <c r="D64" s="107" t="n"/>
      <c r="E64" s="108" t="n"/>
      <c r="F64" s="108" t="n"/>
      <c r="G64" s="98" t="inlineStr">
        <is>
          <t>Historic:</t>
        </is>
      </c>
      <c r="H64" s="179" t="n"/>
      <c r="I64" s="180" t="n"/>
      <c r="J64" s="181" t="n"/>
      <c r="K64" s="31" t="inlineStr">
        <is>
          <t>2:</t>
        </is>
      </c>
      <c r="L64" s="107" t="n"/>
      <c r="M64" s="108" t="n"/>
      <c r="N64" s="115" t="n"/>
      <c r="O64" s="182" t="n"/>
    </row>
    <row r="65" hidden="1" outlineLevel="1" ht="24" customHeight="1" s="59" thickBot="1">
      <c r="B65" s="79" t="inlineStr">
        <is>
          <t>[Enter Website]</t>
        </is>
      </c>
      <c r="C65" s="80" t="inlineStr">
        <is>
          <t>3:</t>
        </is>
      </c>
      <c r="D65" s="109" t="n"/>
      <c r="E65" s="110" t="n"/>
      <c r="F65" s="110" t="n"/>
      <c r="G65" s="81" t="n"/>
      <c r="H65" s="183" t="n"/>
      <c r="I65" s="183" t="n"/>
      <c r="J65" s="184" t="n"/>
      <c r="K65" s="82" t="inlineStr">
        <is>
          <t>3:</t>
        </is>
      </c>
      <c r="L65" s="109" t="n"/>
      <c r="M65" s="110" t="n"/>
      <c r="N65" s="116" t="n"/>
      <c r="O65" s="185" t="n"/>
    </row>
    <row r="66" hidden="1" outlineLevel="1" ht="9" customHeight="1" s="59" thickBot="1">
      <c r="D66" s="112" t="n"/>
      <c r="E66" s="112" t="n"/>
      <c r="F66" s="112" t="n"/>
      <c r="H66" s="100" t="n"/>
      <c r="I66" s="100" t="n"/>
      <c r="J66" s="100" t="n"/>
      <c r="L66" s="112" t="n"/>
      <c r="M66" s="112" t="n"/>
      <c r="N66" s="112" t="n"/>
      <c r="O66" s="104" t="n"/>
    </row>
    <row r="67" hidden="1" outlineLevel="1" ht="24" customHeight="1" s="59">
      <c r="B67" s="73" t="n"/>
      <c r="C67" s="74" t="inlineStr">
        <is>
          <t>1:</t>
        </is>
      </c>
      <c r="D67" s="105" t="n"/>
      <c r="E67" s="106" t="n"/>
      <c r="F67" s="106" t="n"/>
      <c r="G67" s="75" t="inlineStr">
        <is>
          <t>Most recent:</t>
        </is>
      </c>
      <c r="H67" s="76" t="n"/>
      <c r="I67" s="76" t="n"/>
      <c r="J67" s="101" t="n"/>
      <c r="K67" s="77" t="inlineStr">
        <is>
          <t>1:</t>
        </is>
      </c>
      <c r="L67" s="105" t="n"/>
      <c r="M67" s="106" t="n"/>
      <c r="N67" s="114" t="n"/>
      <c r="O67" s="137" t="n"/>
    </row>
    <row r="68" hidden="1" outlineLevel="1" ht="24" customHeight="1" s="59">
      <c r="B68" s="78" t="n"/>
      <c r="C68" s="39" t="inlineStr">
        <is>
          <t>2:</t>
        </is>
      </c>
      <c r="D68" s="107" t="n"/>
      <c r="E68" s="108" t="n"/>
      <c r="F68" s="108" t="n"/>
      <c r="G68" s="98" t="inlineStr">
        <is>
          <t>Historic:</t>
        </is>
      </c>
      <c r="H68" s="179" t="n"/>
      <c r="I68" s="180" t="n"/>
      <c r="J68" s="181" t="n"/>
      <c r="K68" s="31" t="inlineStr">
        <is>
          <t>2:</t>
        </is>
      </c>
      <c r="L68" s="107" t="n"/>
      <c r="M68" s="108" t="n"/>
      <c r="N68" s="115" t="n"/>
      <c r="O68" s="182" t="n"/>
    </row>
    <row r="69" hidden="1" outlineLevel="1" ht="24" customHeight="1" s="59" thickBot="1">
      <c r="B69" s="79" t="inlineStr">
        <is>
          <t>[Enter Website]</t>
        </is>
      </c>
      <c r="C69" s="80" t="inlineStr">
        <is>
          <t>3:</t>
        </is>
      </c>
      <c r="D69" s="109" t="n"/>
      <c r="E69" s="110" t="n"/>
      <c r="F69" s="110" t="n"/>
      <c r="G69" s="81" t="n"/>
      <c r="H69" s="183" t="n"/>
      <c r="I69" s="183" t="n"/>
      <c r="J69" s="184" t="n"/>
      <c r="K69" s="82" t="inlineStr">
        <is>
          <t>3:</t>
        </is>
      </c>
      <c r="L69" s="109" t="n"/>
      <c r="M69" s="110" t="n"/>
      <c r="N69" s="116" t="n"/>
      <c r="O69" s="185" t="n"/>
    </row>
    <row r="70" hidden="1" outlineLevel="1" ht="9" customHeight="1" s="59" thickBot="1">
      <c r="D70" s="112" t="n"/>
      <c r="E70" s="112" t="n"/>
      <c r="F70" s="112" t="n"/>
      <c r="H70" s="100" t="n"/>
      <c r="I70" s="100" t="n"/>
      <c r="J70" s="100" t="n"/>
      <c r="L70" s="112" t="n"/>
      <c r="M70" s="112" t="n"/>
      <c r="N70" s="112" t="n"/>
      <c r="O70" s="104" t="n"/>
    </row>
    <row r="71" hidden="1" outlineLevel="1" ht="24" customHeight="1" s="59">
      <c r="B71" s="73" t="n"/>
      <c r="C71" s="74" t="inlineStr">
        <is>
          <t>1:</t>
        </is>
      </c>
      <c r="D71" s="105" t="n"/>
      <c r="E71" s="106" t="n"/>
      <c r="F71" s="106" t="n"/>
      <c r="G71" s="75" t="inlineStr">
        <is>
          <t>Most recent:</t>
        </is>
      </c>
      <c r="H71" s="76" t="n"/>
      <c r="I71" s="76" t="n"/>
      <c r="J71" s="101" t="n"/>
      <c r="K71" s="77" t="inlineStr">
        <is>
          <t>1:</t>
        </is>
      </c>
      <c r="L71" s="105" t="n"/>
      <c r="M71" s="106" t="n"/>
      <c r="N71" s="114" t="n"/>
      <c r="O71" s="137" t="n"/>
    </row>
    <row r="72" hidden="1" outlineLevel="1" ht="24" customHeight="1" s="59">
      <c r="B72" s="78" t="n"/>
      <c r="C72" s="39" t="inlineStr">
        <is>
          <t>2:</t>
        </is>
      </c>
      <c r="D72" s="107" t="n"/>
      <c r="E72" s="108" t="n"/>
      <c r="F72" s="108" t="n"/>
      <c r="G72" s="98" t="inlineStr">
        <is>
          <t>Historic:</t>
        </is>
      </c>
      <c r="H72" s="179" t="n"/>
      <c r="I72" s="180" t="n"/>
      <c r="J72" s="181" t="n"/>
      <c r="K72" s="31" t="inlineStr">
        <is>
          <t>2:</t>
        </is>
      </c>
      <c r="L72" s="107" t="n"/>
      <c r="M72" s="108" t="n"/>
      <c r="N72" s="115" t="n"/>
      <c r="O72" s="182" t="n"/>
    </row>
    <row r="73" hidden="1" outlineLevel="1" ht="24" customHeight="1" s="59" thickBot="1">
      <c r="B73" s="79" t="inlineStr">
        <is>
          <t>[Enter Website]</t>
        </is>
      </c>
      <c r="C73" s="80" t="inlineStr">
        <is>
          <t>3:</t>
        </is>
      </c>
      <c r="D73" s="109" t="n"/>
      <c r="E73" s="110" t="n"/>
      <c r="F73" s="110" t="n"/>
      <c r="G73" s="81" t="n"/>
      <c r="H73" s="183" t="n"/>
      <c r="I73" s="183" t="n"/>
      <c r="J73" s="184" t="n"/>
      <c r="K73" s="82" t="inlineStr">
        <is>
          <t>3:</t>
        </is>
      </c>
      <c r="L73" s="109" t="n"/>
      <c r="M73" s="110" t="n"/>
      <c r="N73" s="116" t="n"/>
      <c r="O73" s="185" t="n"/>
    </row>
    <row r="74" hidden="1" outlineLevel="1" ht="9" customHeight="1" s="59" thickBot="1">
      <c r="D74" s="112" t="n"/>
      <c r="E74" s="112" t="n"/>
      <c r="F74" s="112" t="n"/>
      <c r="H74" s="100" t="n"/>
      <c r="I74" s="100" t="n"/>
      <c r="J74" s="100" t="n"/>
      <c r="L74" s="112" t="n"/>
      <c r="M74" s="112" t="n"/>
      <c r="N74" s="112" t="n"/>
      <c r="O74" s="104" t="n"/>
    </row>
    <row r="75" hidden="1" outlineLevel="1" ht="24" customHeight="1" s="59">
      <c r="B75" s="73" t="n"/>
      <c r="C75" s="74" t="inlineStr">
        <is>
          <t>1:</t>
        </is>
      </c>
      <c r="D75" s="105" t="n"/>
      <c r="E75" s="106" t="n"/>
      <c r="F75" s="106" t="n"/>
      <c r="G75" s="75" t="inlineStr">
        <is>
          <t>Most recent:</t>
        </is>
      </c>
      <c r="H75" s="76" t="n"/>
      <c r="I75" s="76" t="n"/>
      <c r="J75" s="101" t="n"/>
      <c r="K75" s="77" t="inlineStr">
        <is>
          <t>1:</t>
        </is>
      </c>
      <c r="L75" s="105" t="n"/>
      <c r="M75" s="106" t="n"/>
      <c r="N75" s="114" t="n"/>
      <c r="O75" s="137" t="n"/>
    </row>
    <row r="76" hidden="1" outlineLevel="1" ht="24" customHeight="1" s="59">
      <c r="B76" s="78" t="n"/>
      <c r="C76" s="39" t="inlineStr">
        <is>
          <t>2:</t>
        </is>
      </c>
      <c r="D76" s="107" t="n"/>
      <c r="E76" s="108" t="n"/>
      <c r="F76" s="108" t="n"/>
      <c r="G76" s="98" t="inlineStr">
        <is>
          <t>Historic:</t>
        </is>
      </c>
      <c r="H76" s="179" t="n"/>
      <c r="I76" s="180" t="n"/>
      <c r="J76" s="181" t="n"/>
      <c r="K76" s="31" t="inlineStr">
        <is>
          <t>2:</t>
        </is>
      </c>
      <c r="L76" s="107" t="n"/>
      <c r="M76" s="108" t="n"/>
      <c r="N76" s="115" t="n"/>
      <c r="O76" s="182" t="n"/>
    </row>
    <row r="77" hidden="1" outlineLevel="1" ht="24" customHeight="1" s="59" thickBot="1">
      <c r="B77" s="79" t="inlineStr">
        <is>
          <t>[Enter Website]</t>
        </is>
      </c>
      <c r="C77" s="80" t="inlineStr">
        <is>
          <t>3:</t>
        </is>
      </c>
      <c r="D77" s="109" t="n"/>
      <c r="E77" s="110" t="n"/>
      <c r="F77" s="110" t="n"/>
      <c r="G77" s="81" t="n"/>
      <c r="H77" s="183" t="n"/>
      <c r="I77" s="183" t="n"/>
      <c r="J77" s="184" t="n"/>
      <c r="K77" s="82" t="inlineStr">
        <is>
          <t>3:</t>
        </is>
      </c>
      <c r="L77" s="109" t="n"/>
      <c r="M77" s="110" t="n"/>
      <c r="N77" s="116" t="n"/>
      <c r="O77" s="185" t="n"/>
    </row>
    <row r="78" collapsed="1" s="59">
      <c r="D78" s="112" t="n"/>
      <c r="E78" s="112" t="n"/>
      <c r="F78" s="112" t="n"/>
      <c r="H78" s="100" t="n"/>
      <c r="I78" s="100" t="n"/>
      <c r="J78" s="100" t="n"/>
      <c r="L78" s="112" t="n"/>
      <c r="M78" s="112" t="n"/>
      <c r="N78" s="112" t="n"/>
      <c r="O78" s="104" t="n"/>
    </row>
    <row r="79" ht="9" customHeight="1" s="59">
      <c r="D79" s="112" t="n"/>
      <c r="E79" s="112" t="n"/>
      <c r="F79" s="112" t="n"/>
      <c r="H79" s="100" t="n"/>
      <c r="I79" s="100" t="n"/>
      <c r="J79" s="100" t="n"/>
      <c r="L79" s="112" t="n"/>
      <c r="M79" s="112" t="n"/>
      <c r="N79" s="112" t="n"/>
      <c r="O79" s="104" t="n"/>
    </row>
    <row r="80" hidden="1" outlineLevel="1" ht="24" customHeight="1" s="59">
      <c r="B80" s="73" t="n"/>
      <c r="C80" s="74" t="inlineStr">
        <is>
          <t>1:</t>
        </is>
      </c>
      <c r="D80" s="105" t="n"/>
      <c r="E80" s="106" t="n"/>
      <c r="F80" s="106" t="n"/>
      <c r="G80" s="75" t="inlineStr">
        <is>
          <t>Most recent:</t>
        </is>
      </c>
      <c r="H80" s="76" t="n"/>
      <c r="I80" s="76" t="n"/>
      <c r="J80" s="101" t="n"/>
      <c r="K80" s="77" t="inlineStr">
        <is>
          <t>1:</t>
        </is>
      </c>
      <c r="L80" s="105" t="n"/>
      <c r="M80" s="106" t="n"/>
      <c r="N80" s="114" t="n"/>
      <c r="O80" s="137" t="n"/>
    </row>
    <row r="81" hidden="1" outlineLevel="1" ht="24" customHeight="1" s="59">
      <c r="B81" s="78" t="inlineStr">
        <is>
          <t>Investor Type (choose from dropdown)</t>
        </is>
      </c>
      <c r="C81" s="39" t="inlineStr">
        <is>
          <t>2:</t>
        </is>
      </c>
      <c r="D81" s="107" t="n"/>
      <c r="E81" s="108" t="n"/>
      <c r="F81" s="108" t="n"/>
      <c r="G81" s="98" t="inlineStr">
        <is>
          <t>Historic:</t>
        </is>
      </c>
      <c r="H81" s="179" t="n"/>
      <c r="I81" s="180" t="n"/>
      <c r="J81" s="181" t="n"/>
      <c r="K81" s="31" t="inlineStr">
        <is>
          <t>2:</t>
        </is>
      </c>
      <c r="L81" s="107" t="n"/>
      <c r="M81" s="108" t="n"/>
      <c r="N81" s="115" t="n"/>
      <c r="O81" s="182" t="n"/>
    </row>
    <row r="82" hidden="1" outlineLevel="1" ht="24" customHeight="1" s="59" thickBot="1">
      <c r="B82" s="79" t="n"/>
      <c r="C82" s="80" t="inlineStr">
        <is>
          <t>3:</t>
        </is>
      </c>
      <c r="D82" s="109" t="n"/>
      <c r="E82" s="110" t="n"/>
      <c r="F82" s="110" t="n"/>
      <c r="G82" s="81" t="n"/>
      <c r="H82" s="183" t="n"/>
      <c r="I82" s="183" t="n"/>
      <c r="J82" s="184" t="n"/>
      <c r="K82" s="82" t="inlineStr">
        <is>
          <t>3:</t>
        </is>
      </c>
      <c r="L82" s="109" t="n"/>
      <c r="M82" s="110" t="n"/>
      <c r="N82" s="116" t="n"/>
      <c r="O82" s="185" t="n"/>
    </row>
    <row r="83" hidden="1" outlineLevel="1" ht="9" customHeight="1" s="59" thickBot="1">
      <c r="D83" s="112" t="n"/>
      <c r="E83" s="112" t="n"/>
      <c r="F83" s="112" t="n"/>
      <c r="H83" s="100" t="n"/>
      <c r="I83" s="100" t="n"/>
      <c r="J83" s="100" t="n"/>
      <c r="L83" s="112" t="n"/>
      <c r="M83" s="112" t="n"/>
      <c r="N83" s="112" t="n"/>
      <c r="O83" s="104" t="n"/>
    </row>
    <row r="84" hidden="1" outlineLevel="1" ht="24" customHeight="1" s="59">
      <c r="B84" s="73" t="n"/>
      <c r="C84" s="74" t="inlineStr">
        <is>
          <t>1:</t>
        </is>
      </c>
      <c r="D84" s="105" t="n"/>
      <c r="E84" s="106" t="n"/>
      <c r="F84" s="106" t="n"/>
      <c r="G84" s="75" t="inlineStr">
        <is>
          <t>Most recent:</t>
        </is>
      </c>
      <c r="H84" s="76" t="n"/>
      <c r="I84" s="76" t="n"/>
      <c r="J84" s="101" t="n"/>
      <c r="K84" s="77" t="inlineStr">
        <is>
          <t>1:</t>
        </is>
      </c>
      <c r="L84" s="105" t="n"/>
      <c r="M84" s="106" t="n"/>
      <c r="N84" s="114" t="n"/>
      <c r="O84" s="137" t="n"/>
    </row>
    <row r="85" hidden="1" outlineLevel="1" ht="24" customHeight="1" s="59">
      <c r="B85" s="78" t="inlineStr">
        <is>
          <t>Investor Type (choose from dropdown)</t>
        </is>
      </c>
      <c r="C85" s="39" t="inlineStr">
        <is>
          <t>2:</t>
        </is>
      </c>
      <c r="D85" s="107" t="n"/>
      <c r="E85" s="108" t="n"/>
      <c r="F85" s="108" t="n"/>
      <c r="G85" s="98" t="inlineStr">
        <is>
          <t>Historic:</t>
        </is>
      </c>
      <c r="H85" s="179" t="n"/>
      <c r="I85" s="180" t="n"/>
      <c r="J85" s="181" t="n"/>
      <c r="K85" s="31" t="inlineStr">
        <is>
          <t>2:</t>
        </is>
      </c>
      <c r="L85" s="107" t="n"/>
      <c r="M85" s="108" t="n"/>
      <c r="N85" s="115" t="n"/>
      <c r="O85" s="182" t="n"/>
    </row>
    <row r="86" hidden="1" outlineLevel="1" ht="24" customHeight="1" s="59" thickBot="1">
      <c r="B86" s="79" t="n"/>
      <c r="C86" s="80" t="inlineStr">
        <is>
          <t>3:</t>
        </is>
      </c>
      <c r="D86" s="109" t="n"/>
      <c r="E86" s="110" t="n"/>
      <c r="F86" s="110" t="n"/>
      <c r="G86" s="81" t="n"/>
      <c r="H86" s="183" t="n"/>
      <c r="I86" s="183" t="n"/>
      <c r="J86" s="184" t="n"/>
      <c r="K86" s="82" t="inlineStr">
        <is>
          <t>3:</t>
        </is>
      </c>
      <c r="L86" s="109" t="n"/>
      <c r="M86" s="110" t="n"/>
      <c r="N86" s="116" t="n"/>
      <c r="O86" s="185" t="n"/>
    </row>
    <row r="87" hidden="1" outlineLevel="1" ht="9" customHeight="1" s="59" thickBot="1">
      <c r="D87" s="112" t="n"/>
      <c r="E87" s="112" t="n"/>
      <c r="F87" s="112" t="n"/>
      <c r="H87" s="100" t="n"/>
      <c r="I87" s="100" t="n"/>
      <c r="J87" s="100" t="n"/>
      <c r="L87" s="112" t="n"/>
      <c r="M87" s="112" t="n"/>
      <c r="N87" s="112" t="n"/>
      <c r="O87" s="104" t="n"/>
    </row>
    <row r="88" hidden="1" outlineLevel="1" ht="24" customHeight="1" s="59">
      <c r="B88" s="73" t="n"/>
      <c r="C88" s="74" t="inlineStr">
        <is>
          <t>1:</t>
        </is>
      </c>
      <c r="D88" s="105" t="n"/>
      <c r="E88" s="106" t="n"/>
      <c r="F88" s="106" t="n"/>
      <c r="G88" s="75" t="inlineStr">
        <is>
          <t>Most recent:</t>
        </is>
      </c>
      <c r="H88" s="76" t="n"/>
      <c r="I88" s="76" t="n"/>
      <c r="J88" s="101" t="n"/>
      <c r="K88" s="77" t="inlineStr">
        <is>
          <t>1:</t>
        </is>
      </c>
      <c r="L88" s="105" t="n"/>
      <c r="M88" s="106" t="n"/>
      <c r="N88" s="114" t="n"/>
      <c r="O88" s="137" t="n"/>
    </row>
    <row r="89" hidden="1" outlineLevel="1" ht="24" customHeight="1" s="59">
      <c r="B89" s="78" t="inlineStr">
        <is>
          <t>Investor Type (choose from dropdown)</t>
        </is>
      </c>
      <c r="C89" s="39" t="inlineStr">
        <is>
          <t>2:</t>
        </is>
      </c>
      <c r="D89" s="107" t="n"/>
      <c r="E89" s="108" t="n"/>
      <c r="F89" s="108" t="n"/>
      <c r="G89" s="98" t="inlineStr">
        <is>
          <t>Historic:</t>
        </is>
      </c>
      <c r="H89" s="179" t="n"/>
      <c r="I89" s="180" t="n"/>
      <c r="J89" s="181" t="n"/>
      <c r="K89" s="31" t="inlineStr">
        <is>
          <t>2:</t>
        </is>
      </c>
      <c r="L89" s="107" t="n"/>
      <c r="M89" s="108" t="n"/>
      <c r="N89" s="115" t="n"/>
      <c r="O89" s="182" t="n"/>
    </row>
    <row r="90" hidden="1" outlineLevel="1" ht="24" customHeight="1" s="59" thickBot="1">
      <c r="B90" s="79" t="n"/>
      <c r="C90" s="80" t="inlineStr">
        <is>
          <t>3:</t>
        </is>
      </c>
      <c r="D90" s="109" t="n"/>
      <c r="E90" s="110" t="n"/>
      <c r="F90" s="110" t="n"/>
      <c r="G90" s="81" t="n"/>
      <c r="H90" s="183" t="n"/>
      <c r="I90" s="183" t="n"/>
      <c r="J90" s="184" t="n"/>
      <c r="K90" s="82" t="inlineStr">
        <is>
          <t>3:</t>
        </is>
      </c>
      <c r="L90" s="109" t="n"/>
      <c r="M90" s="110" t="n"/>
      <c r="N90" s="116" t="n"/>
      <c r="O90" s="185" t="n"/>
    </row>
    <row r="91" hidden="1" outlineLevel="1" ht="9" customHeight="1" s="59" thickBot="1">
      <c r="D91" s="112" t="n"/>
      <c r="E91" s="112" t="n"/>
      <c r="F91" s="112" t="n"/>
      <c r="H91" s="100" t="n"/>
      <c r="I91" s="100" t="n"/>
      <c r="J91" s="100" t="n"/>
      <c r="L91" s="112" t="n"/>
      <c r="M91" s="112" t="n"/>
      <c r="N91" s="112" t="n"/>
      <c r="O91" s="104" t="n"/>
    </row>
    <row r="92" hidden="1" outlineLevel="1" ht="24" customHeight="1" s="59">
      <c r="B92" s="73" t="n"/>
      <c r="C92" s="74" t="inlineStr">
        <is>
          <t>1:</t>
        </is>
      </c>
      <c r="D92" s="105" t="n"/>
      <c r="E92" s="106" t="n"/>
      <c r="F92" s="106" t="n"/>
      <c r="G92" s="75" t="inlineStr">
        <is>
          <t>Most recent:</t>
        </is>
      </c>
      <c r="H92" s="76" t="n"/>
      <c r="I92" s="76" t="n"/>
      <c r="J92" s="101" t="n"/>
      <c r="K92" s="77" t="inlineStr">
        <is>
          <t>1:</t>
        </is>
      </c>
      <c r="L92" s="105" t="n"/>
      <c r="M92" s="106" t="n"/>
      <c r="N92" s="114" t="n"/>
      <c r="O92" s="137" t="n"/>
    </row>
    <row r="93" hidden="1" outlineLevel="1" ht="24" customHeight="1" s="59">
      <c r="B93" s="78" t="inlineStr">
        <is>
          <t>Investor Type (choose from dropdown)</t>
        </is>
      </c>
      <c r="C93" s="39" t="inlineStr">
        <is>
          <t>2:</t>
        </is>
      </c>
      <c r="D93" s="107" t="n"/>
      <c r="E93" s="108" t="n"/>
      <c r="F93" s="108" t="n"/>
      <c r="G93" s="98" t="inlineStr">
        <is>
          <t>Historic:</t>
        </is>
      </c>
      <c r="H93" s="179" t="n"/>
      <c r="I93" s="180" t="n"/>
      <c r="J93" s="181" t="n"/>
      <c r="K93" s="31" t="inlineStr">
        <is>
          <t>2:</t>
        </is>
      </c>
      <c r="L93" s="107" t="n"/>
      <c r="M93" s="108" t="n"/>
      <c r="N93" s="115" t="n"/>
      <c r="O93" s="182" t="n"/>
    </row>
    <row r="94" hidden="1" outlineLevel="1" ht="24" customHeight="1" s="59" thickBot="1">
      <c r="B94" s="79" t="n"/>
      <c r="C94" s="80" t="inlineStr">
        <is>
          <t>3:</t>
        </is>
      </c>
      <c r="D94" s="109" t="n"/>
      <c r="E94" s="110" t="n"/>
      <c r="F94" s="110" t="n"/>
      <c r="G94" s="81" t="n"/>
      <c r="H94" s="183" t="n"/>
      <c r="I94" s="183" t="n"/>
      <c r="J94" s="184" t="n"/>
      <c r="K94" s="82" t="inlineStr">
        <is>
          <t>3:</t>
        </is>
      </c>
      <c r="L94" s="109" t="n"/>
      <c r="M94" s="110" t="n"/>
      <c r="N94" s="116" t="n"/>
      <c r="O94" s="185" t="n"/>
    </row>
    <row r="95" hidden="1" outlineLevel="1" ht="9" customHeight="1" s="59" thickBot="1">
      <c r="D95" s="112" t="n"/>
      <c r="E95" s="112" t="n"/>
      <c r="F95" s="112" t="n"/>
      <c r="H95" s="100" t="n"/>
      <c r="I95" s="100" t="n"/>
      <c r="J95" s="100" t="n"/>
      <c r="L95" s="112" t="n"/>
      <c r="M95" s="112" t="n"/>
      <c r="N95" s="112" t="n"/>
      <c r="O95" s="104" t="n"/>
    </row>
    <row r="96" hidden="1" outlineLevel="1" ht="24" customHeight="1" s="59">
      <c r="B96" s="73" t="n"/>
      <c r="C96" s="74" t="inlineStr">
        <is>
          <t>1:</t>
        </is>
      </c>
      <c r="D96" s="105" t="n"/>
      <c r="E96" s="106" t="n"/>
      <c r="F96" s="106" t="n"/>
      <c r="G96" s="75" t="inlineStr">
        <is>
          <t>Most recent:</t>
        </is>
      </c>
      <c r="H96" s="76" t="n"/>
      <c r="I96" s="76" t="n"/>
      <c r="J96" s="101" t="n"/>
      <c r="K96" s="77" t="inlineStr">
        <is>
          <t>1:</t>
        </is>
      </c>
      <c r="L96" s="105" t="n"/>
      <c r="M96" s="106" t="n"/>
      <c r="N96" s="114" t="n"/>
      <c r="O96" s="137" t="n"/>
    </row>
    <row r="97" hidden="1" outlineLevel="1" ht="24" customHeight="1" s="59">
      <c r="B97" s="78" t="inlineStr">
        <is>
          <t>Investor Type (choose from dropdown)</t>
        </is>
      </c>
      <c r="C97" s="39" t="inlineStr">
        <is>
          <t>2:</t>
        </is>
      </c>
      <c r="D97" s="107" t="n"/>
      <c r="E97" s="108" t="n"/>
      <c r="F97" s="108" t="n"/>
      <c r="G97" s="98" t="inlineStr">
        <is>
          <t>Historic:</t>
        </is>
      </c>
      <c r="H97" s="179" t="n"/>
      <c r="I97" s="180" t="n"/>
      <c r="J97" s="181" t="n"/>
      <c r="K97" s="31" t="inlineStr">
        <is>
          <t>2:</t>
        </is>
      </c>
      <c r="L97" s="107" t="n"/>
      <c r="M97" s="108" t="n"/>
      <c r="N97" s="115" t="n"/>
      <c r="O97" s="182" t="n"/>
    </row>
    <row r="98" hidden="1" outlineLevel="1" ht="24" customHeight="1" s="59" thickBot="1">
      <c r="B98" s="79" t="n"/>
      <c r="C98" s="80" t="inlineStr">
        <is>
          <t>3:</t>
        </is>
      </c>
      <c r="D98" s="109" t="n"/>
      <c r="E98" s="110" t="n"/>
      <c r="F98" s="110" t="n"/>
      <c r="G98" s="81" t="n"/>
      <c r="H98" s="183" t="n"/>
      <c r="I98" s="183" t="n"/>
      <c r="J98" s="184" t="n"/>
      <c r="K98" s="82" t="inlineStr">
        <is>
          <t>3:</t>
        </is>
      </c>
      <c r="L98" s="109" t="n"/>
      <c r="M98" s="110" t="n"/>
      <c r="N98" s="116" t="n"/>
      <c r="O98" s="185" t="n"/>
    </row>
    <row r="99" hidden="1" outlineLevel="1" ht="9" customHeight="1" s="59" thickBot="1">
      <c r="D99" s="112" t="n"/>
      <c r="E99" s="112" t="n"/>
      <c r="F99" s="112" t="n"/>
      <c r="H99" s="100" t="n"/>
      <c r="I99" s="100" t="n"/>
      <c r="J99" s="100" t="n"/>
      <c r="L99" s="112" t="n"/>
      <c r="M99" s="112" t="n"/>
      <c r="N99" s="112" t="n"/>
      <c r="O99" s="104" t="n"/>
    </row>
    <row r="100" hidden="1" outlineLevel="1" ht="24" customHeight="1" s="59">
      <c r="B100" s="73" t="n"/>
      <c r="C100" s="74" t="inlineStr">
        <is>
          <t>1:</t>
        </is>
      </c>
      <c r="D100" s="105" t="n"/>
      <c r="E100" s="106" t="n"/>
      <c r="F100" s="106" t="n"/>
      <c r="G100" s="75" t="inlineStr">
        <is>
          <t>Most recent:</t>
        </is>
      </c>
      <c r="H100" s="76" t="n"/>
      <c r="I100" s="76" t="n"/>
      <c r="J100" s="101" t="n"/>
      <c r="K100" s="77" t="inlineStr">
        <is>
          <t>1:</t>
        </is>
      </c>
      <c r="L100" s="105" t="n"/>
      <c r="M100" s="106" t="n"/>
      <c r="N100" s="114" t="n"/>
      <c r="O100" s="137" t="n"/>
    </row>
    <row r="101" hidden="1" outlineLevel="1" ht="24" customHeight="1" s="59">
      <c r="B101" s="78" t="inlineStr">
        <is>
          <t>Investor Type (choose from dropdown)</t>
        </is>
      </c>
      <c r="C101" s="39" t="inlineStr">
        <is>
          <t>2:</t>
        </is>
      </c>
      <c r="D101" s="107" t="n"/>
      <c r="E101" s="108" t="n"/>
      <c r="F101" s="108" t="n"/>
      <c r="G101" s="98" t="inlineStr">
        <is>
          <t>Historic:</t>
        </is>
      </c>
      <c r="H101" s="179" t="n"/>
      <c r="I101" s="180" t="n"/>
      <c r="J101" s="181" t="n"/>
      <c r="K101" s="31" t="inlineStr">
        <is>
          <t>2:</t>
        </is>
      </c>
      <c r="L101" s="107" t="n"/>
      <c r="M101" s="108" t="n"/>
      <c r="N101" s="115" t="n"/>
      <c r="O101" s="182" t="n"/>
    </row>
    <row r="102" hidden="1" outlineLevel="1" ht="24" customHeight="1" s="59" thickBot="1">
      <c r="B102" s="79" t="n"/>
      <c r="C102" s="80" t="inlineStr">
        <is>
          <t>3:</t>
        </is>
      </c>
      <c r="D102" s="109" t="n"/>
      <c r="E102" s="110" t="n"/>
      <c r="F102" s="110" t="n"/>
      <c r="G102" s="81" t="n"/>
      <c r="H102" s="183" t="n"/>
      <c r="I102" s="183" t="n"/>
      <c r="J102" s="184" t="n"/>
      <c r="K102" s="82" t="inlineStr">
        <is>
          <t>3:</t>
        </is>
      </c>
      <c r="L102" s="109" t="n"/>
      <c r="M102" s="110" t="n"/>
      <c r="N102" s="116" t="n"/>
      <c r="O102" s="185" t="n"/>
    </row>
    <row r="103" hidden="1" outlineLevel="1" ht="9" customHeight="1" s="59" thickBot="1">
      <c r="D103" s="112" t="n"/>
      <c r="E103" s="112" t="n"/>
      <c r="F103" s="112" t="n"/>
      <c r="H103" s="100" t="n"/>
      <c r="I103" s="100" t="n"/>
      <c r="J103" s="100" t="n"/>
      <c r="L103" s="112" t="n"/>
      <c r="M103" s="112" t="n"/>
      <c r="N103" s="112" t="n"/>
      <c r="O103" s="104" t="n"/>
    </row>
    <row r="104" hidden="1" outlineLevel="1" ht="24" customHeight="1" s="59">
      <c r="B104" s="73" t="n"/>
      <c r="C104" s="74" t="inlineStr">
        <is>
          <t>1:</t>
        </is>
      </c>
      <c r="D104" s="105" t="n"/>
      <c r="E104" s="106" t="n"/>
      <c r="F104" s="106" t="n"/>
      <c r="G104" s="75" t="inlineStr">
        <is>
          <t>Most recent:</t>
        </is>
      </c>
      <c r="H104" s="76" t="n"/>
      <c r="I104" s="76" t="n"/>
      <c r="J104" s="101" t="n"/>
      <c r="K104" s="77" t="inlineStr">
        <is>
          <t>1:</t>
        </is>
      </c>
      <c r="L104" s="105" t="n"/>
      <c r="M104" s="106" t="n"/>
      <c r="N104" s="114" t="n"/>
      <c r="O104" s="137" t="n"/>
    </row>
    <row r="105" hidden="1" outlineLevel="1" ht="24" customHeight="1" s="59">
      <c r="B105" s="78" t="inlineStr">
        <is>
          <t>Investor Type (choose from dropdown)</t>
        </is>
      </c>
      <c r="C105" s="39" t="inlineStr">
        <is>
          <t>2:</t>
        </is>
      </c>
      <c r="D105" s="107" t="n"/>
      <c r="E105" s="108" t="n"/>
      <c r="F105" s="108" t="n"/>
      <c r="G105" s="98" t="inlineStr">
        <is>
          <t>Historic:</t>
        </is>
      </c>
      <c r="H105" s="179" t="n"/>
      <c r="I105" s="180" t="n"/>
      <c r="J105" s="181" t="n"/>
      <c r="K105" s="31" t="inlineStr">
        <is>
          <t>2:</t>
        </is>
      </c>
      <c r="L105" s="107" t="n"/>
      <c r="M105" s="108" t="n"/>
      <c r="N105" s="115" t="n"/>
      <c r="O105" s="182" t="n"/>
    </row>
    <row r="106" hidden="1" outlineLevel="1" ht="24" customHeight="1" s="59" thickBot="1">
      <c r="B106" s="79" t="n"/>
      <c r="C106" s="80" t="inlineStr">
        <is>
          <t>3:</t>
        </is>
      </c>
      <c r="D106" s="109" t="n"/>
      <c r="E106" s="110" t="n"/>
      <c r="F106" s="110" t="n"/>
      <c r="G106" s="81" t="n"/>
      <c r="H106" s="183" t="n"/>
      <c r="I106" s="183" t="n"/>
      <c r="J106" s="184" t="n"/>
      <c r="K106" s="82" t="inlineStr">
        <is>
          <t>3:</t>
        </is>
      </c>
      <c r="L106" s="109" t="n"/>
      <c r="M106" s="110" t="n"/>
      <c r="N106" s="116" t="n"/>
      <c r="O106" s="185" t="n"/>
    </row>
    <row r="107" hidden="1" outlineLevel="1" ht="9" customHeight="1" s="59" thickBot="1">
      <c r="D107" s="112" t="n"/>
      <c r="E107" s="112" t="n"/>
      <c r="F107" s="112" t="n"/>
      <c r="H107" s="100" t="n"/>
      <c r="I107" s="100" t="n"/>
      <c r="J107" s="100" t="n"/>
      <c r="L107" s="112" t="n"/>
      <c r="M107" s="112" t="n"/>
      <c r="N107" s="112" t="n"/>
      <c r="O107" s="104" t="n"/>
    </row>
    <row r="108" hidden="1" outlineLevel="1" ht="24" customHeight="1" s="59">
      <c r="B108" s="73" t="n"/>
      <c r="C108" s="74" t="inlineStr">
        <is>
          <t>1:</t>
        </is>
      </c>
      <c r="D108" s="105" t="n"/>
      <c r="E108" s="106" t="n"/>
      <c r="F108" s="106" t="n"/>
      <c r="G108" s="75" t="inlineStr">
        <is>
          <t>Most recent:</t>
        </is>
      </c>
      <c r="H108" s="76" t="n"/>
      <c r="I108" s="76" t="n"/>
      <c r="J108" s="101" t="n"/>
      <c r="K108" s="77" t="inlineStr">
        <is>
          <t>1:</t>
        </is>
      </c>
      <c r="L108" s="105" t="n"/>
      <c r="M108" s="106" t="n"/>
      <c r="N108" s="114" t="n"/>
      <c r="O108" s="137" t="n"/>
    </row>
    <row r="109" hidden="1" outlineLevel="1" ht="24" customHeight="1" s="59">
      <c r="B109" s="78" t="inlineStr">
        <is>
          <t>Investor Type (choose from dropdown)</t>
        </is>
      </c>
      <c r="C109" s="39" t="inlineStr">
        <is>
          <t>2:</t>
        </is>
      </c>
      <c r="D109" s="107" t="n"/>
      <c r="E109" s="108" t="n"/>
      <c r="F109" s="108" t="n"/>
      <c r="G109" s="98" t="inlineStr">
        <is>
          <t>Historic:</t>
        </is>
      </c>
      <c r="H109" s="179" t="n"/>
      <c r="I109" s="180" t="n"/>
      <c r="J109" s="181" t="n"/>
      <c r="K109" s="31" t="inlineStr">
        <is>
          <t>2:</t>
        </is>
      </c>
      <c r="L109" s="107" t="n"/>
      <c r="M109" s="108" t="n"/>
      <c r="N109" s="115" t="n"/>
      <c r="O109" s="182" t="n"/>
    </row>
    <row r="110" hidden="1" outlineLevel="1" ht="24" customHeight="1" s="59" thickBot="1">
      <c r="B110" s="79" t="n"/>
      <c r="C110" s="80" t="inlineStr">
        <is>
          <t>3:</t>
        </is>
      </c>
      <c r="D110" s="109" t="n"/>
      <c r="E110" s="110" t="n"/>
      <c r="F110" s="110" t="n"/>
      <c r="G110" s="81" t="n"/>
      <c r="H110" s="183" t="n"/>
      <c r="I110" s="183" t="n"/>
      <c r="J110" s="184" t="n"/>
      <c r="K110" s="82" t="inlineStr">
        <is>
          <t>3:</t>
        </is>
      </c>
      <c r="L110" s="109" t="n"/>
      <c r="M110" s="110" t="n"/>
      <c r="N110" s="116" t="n"/>
      <c r="O110" s="185" t="n"/>
    </row>
    <row r="111" hidden="1" outlineLevel="1" ht="9" customHeight="1" s="59" thickBot="1">
      <c r="D111" s="112" t="n"/>
      <c r="E111" s="112" t="n"/>
      <c r="F111" s="112" t="n"/>
      <c r="H111" s="100" t="n"/>
      <c r="I111" s="100" t="n"/>
      <c r="J111" s="100" t="n"/>
      <c r="L111" s="112" t="n"/>
      <c r="M111" s="112" t="n"/>
      <c r="N111" s="112" t="n"/>
      <c r="O111" s="104" t="n"/>
    </row>
    <row r="112" hidden="1" outlineLevel="1" ht="24" customHeight="1" s="59">
      <c r="B112" s="73" t="n"/>
      <c r="C112" s="74" t="inlineStr">
        <is>
          <t>1:</t>
        </is>
      </c>
      <c r="D112" s="105" t="n"/>
      <c r="E112" s="106" t="n"/>
      <c r="F112" s="106" t="n"/>
      <c r="G112" s="75" t="inlineStr">
        <is>
          <t>Most recent:</t>
        </is>
      </c>
      <c r="H112" s="76" t="n"/>
      <c r="I112" s="76" t="n"/>
      <c r="J112" s="101" t="n"/>
      <c r="K112" s="77" t="inlineStr">
        <is>
          <t>1:</t>
        </is>
      </c>
      <c r="L112" s="105" t="n"/>
      <c r="M112" s="106" t="n"/>
      <c r="N112" s="114" t="n"/>
      <c r="O112" s="137" t="n"/>
    </row>
    <row r="113" hidden="1" outlineLevel="1" ht="24" customHeight="1" s="59">
      <c r="B113" s="78" t="inlineStr">
        <is>
          <t>Investor Type (choose from dropdown)</t>
        </is>
      </c>
      <c r="C113" s="39" t="inlineStr">
        <is>
          <t>2:</t>
        </is>
      </c>
      <c r="D113" s="107" t="n"/>
      <c r="E113" s="108" t="n"/>
      <c r="F113" s="108" t="n"/>
      <c r="G113" s="98" t="inlineStr">
        <is>
          <t>Historic:</t>
        </is>
      </c>
      <c r="H113" s="179" t="n"/>
      <c r="I113" s="180" t="n"/>
      <c r="J113" s="181" t="n"/>
      <c r="K113" s="31" t="inlineStr">
        <is>
          <t>2:</t>
        </is>
      </c>
      <c r="L113" s="107" t="n"/>
      <c r="M113" s="108" t="n"/>
      <c r="N113" s="115" t="n"/>
      <c r="O113" s="182" t="n"/>
    </row>
    <row r="114" hidden="1" outlineLevel="1" ht="24" customHeight="1" s="59" thickBot="1">
      <c r="B114" s="79" t="n"/>
      <c r="C114" s="80" t="inlineStr">
        <is>
          <t>3:</t>
        </is>
      </c>
      <c r="D114" s="109" t="n"/>
      <c r="E114" s="110" t="n"/>
      <c r="F114" s="110" t="n"/>
      <c r="G114" s="81" t="n"/>
      <c r="H114" s="183" t="n"/>
      <c r="I114" s="183" t="n"/>
      <c r="J114" s="184" t="n"/>
      <c r="K114" s="82" t="inlineStr">
        <is>
          <t>3:</t>
        </is>
      </c>
      <c r="L114" s="109" t="n"/>
      <c r="M114" s="110" t="n"/>
      <c r="N114" s="116" t="n"/>
      <c r="O114" s="185" t="n"/>
    </row>
    <row r="115" hidden="1" outlineLevel="1" ht="9" customHeight="1" s="59" thickBot="1">
      <c r="D115" s="112" t="n"/>
      <c r="E115" s="112" t="n"/>
      <c r="F115" s="112" t="n"/>
      <c r="H115" s="100" t="n"/>
      <c r="I115" s="100" t="n"/>
      <c r="J115" s="100" t="n"/>
      <c r="L115" s="112" t="n"/>
      <c r="M115" s="112" t="n"/>
      <c r="N115" s="112" t="n"/>
      <c r="O115" s="104" t="n"/>
    </row>
    <row r="116" hidden="1" outlineLevel="1" ht="24" customHeight="1" s="59">
      <c r="B116" s="73" t="n"/>
      <c r="C116" s="74" t="inlineStr">
        <is>
          <t>1:</t>
        </is>
      </c>
      <c r="D116" s="105" t="n"/>
      <c r="E116" s="106" t="n"/>
      <c r="F116" s="106" t="n"/>
      <c r="G116" s="75" t="inlineStr">
        <is>
          <t>Most recent:</t>
        </is>
      </c>
      <c r="H116" s="76" t="n"/>
      <c r="I116" s="76" t="n"/>
      <c r="J116" s="101" t="n"/>
      <c r="K116" s="77" t="inlineStr">
        <is>
          <t>1:</t>
        </is>
      </c>
      <c r="L116" s="105" t="n"/>
      <c r="M116" s="106" t="n"/>
      <c r="N116" s="114" t="n"/>
      <c r="O116" s="137" t="n"/>
    </row>
    <row r="117" hidden="1" outlineLevel="1" ht="24" customHeight="1" s="59">
      <c r="B117" s="78" t="inlineStr">
        <is>
          <t>Investor Type (choose from dropdown)</t>
        </is>
      </c>
      <c r="C117" s="39" t="inlineStr">
        <is>
          <t>2:</t>
        </is>
      </c>
      <c r="D117" s="107" t="n"/>
      <c r="E117" s="108" t="n"/>
      <c r="F117" s="108" t="n"/>
      <c r="G117" s="98" t="inlineStr">
        <is>
          <t>Historic:</t>
        </is>
      </c>
      <c r="H117" s="179" t="n"/>
      <c r="I117" s="180" t="n"/>
      <c r="J117" s="181" t="n"/>
      <c r="K117" s="31" t="inlineStr">
        <is>
          <t>2:</t>
        </is>
      </c>
      <c r="L117" s="107" t="n"/>
      <c r="M117" s="108" t="n"/>
      <c r="N117" s="115" t="n"/>
      <c r="O117" s="182" t="n"/>
    </row>
    <row r="118" hidden="1" outlineLevel="1" ht="24" customHeight="1" s="59" thickBot="1">
      <c r="B118" s="79" t="n"/>
      <c r="C118" s="80" t="inlineStr">
        <is>
          <t>3:</t>
        </is>
      </c>
      <c r="D118" s="109" t="n"/>
      <c r="E118" s="110" t="n"/>
      <c r="F118" s="110" t="n"/>
      <c r="G118" s="81" t="n"/>
      <c r="H118" s="183" t="n"/>
      <c r="I118" s="183" t="n"/>
      <c r="J118" s="184" t="n"/>
      <c r="K118" s="82" t="inlineStr">
        <is>
          <t>3:</t>
        </is>
      </c>
      <c r="L118" s="109" t="n"/>
      <c r="M118" s="110" t="n"/>
      <c r="N118" s="116" t="n"/>
      <c r="O118" s="185" t="n"/>
    </row>
    <row r="119" collapsed="1" s="59">
      <c r="D119" s="112" t="n"/>
      <c r="E119" s="112" t="n"/>
      <c r="F119" s="112" t="n"/>
      <c r="H119" s="100" t="n"/>
      <c r="I119" s="100" t="n"/>
      <c r="J119" s="100" t="n"/>
      <c r="L119" s="112" t="n"/>
      <c r="M119" s="112" t="n"/>
      <c r="N119" s="112" t="n"/>
      <c r="O119" s="104" t="n"/>
    </row>
    <row r="120" ht="9" customHeight="1" s="59">
      <c r="D120" s="112" t="n"/>
      <c r="E120" s="112" t="n"/>
      <c r="F120" s="112" t="n"/>
      <c r="H120" s="100" t="n"/>
      <c r="I120" s="100" t="n"/>
      <c r="J120" s="100" t="n"/>
      <c r="L120" s="112" t="n"/>
      <c r="M120" s="112" t="n"/>
      <c r="N120" s="112" t="n"/>
      <c r="O120" s="104" t="n"/>
    </row>
    <row r="121" hidden="1" outlineLevel="1" ht="24" customHeight="1" s="59">
      <c r="B121" s="73" t="inlineStr">
        <is>
          <t>[Enter Investor Name]</t>
        </is>
      </c>
      <c r="C121" s="74" t="inlineStr">
        <is>
          <t>1:</t>
        </is>
      </c>
      <c r="D121" s="105" t="n"/>
      <c r="E121" s="106" t="n"/>
      <c r="F121" s="106" t="n"/>
      <c r="G121" s="75" t="inlineStr">
        <is>
          <t>Most recent:</t>
        </is>
      </c>
      <c r="H121" s="76" t="n"/>
      <c r="I121" s="76" t="n"/>
      <c r="J121" s="101" t="n"/>
      <c r="K121" s="77" t="inlineStr">
        <is>
          <t>1:</t>
        </is>
      </c>
      <c r="L121" s="105" t="n"/>
      <c r="M121" s="106" t="n"/>
      <c r="N121" s="114" t="n"/>
      <c r="O121" s="137" t="n"/>
    </row>
    <row r="122" hidden="1" outlineLevel="1" ht="24" customHeight="1" s="59">
      <c r="B122" s="78" t="n"/>
      <c r="C122" s="39" t="inlineStr">
        <is>
          <t>2:</t>
        </is>
      </c>
      <c r="D122" s="107" t="n"/>
      <c r="E122" s="108" t="n"/>
      <c r="F122" s="108" t="n"/>
      <c r="G122" s="98" t="inlineStr">
        <is>
          <t>Historic:</t>
        </is>
      </c>
      <c r="H122" s="179" t="n"/>
      <c r="I122" s="180" t="n"/>
      <c r="J122" s="181" t="n"/>
      <c r="K122" s="31" t="inlineStr">
        <is>
          <t>2:</t>
        </is>
      </c>
      <c r="L122" s="107" t="n"/>
      <c r="M122" s="108" t="n"/>
      <c r="N122" s="115" t="n"/>
      <c r="O122" s="182" t="n"/>
    </row>
    <row r="123" hidden="1" outlineLevel="1" ht="24" customHeight="1" s="59" thickBot="1">
      <c r="B123" s="79" t="n"/>
      <c r="C123" s="80" t="inlineStr">
        <is>
          <t>3:</t>
        </is>
      </c>
      <c r="D123" s="109" t="n"/>
      <c r="E123" s="110" t="n"/>
      <c r="F123" s="110" t="n"/>
      <c r="G123" s="81" t="n"/>
      <c r="H123" s="183" t="n"/>
      <c r="I123" s="183" t="n"/>
      <c r="J123" s="184" t="n"/>
      <c r="K123" s="82" t="inlineStr">
        <is>
          <t>3:</t>
        </is>
      </c>
      <c r="L123" s="109" t="n"/>
      <c r="M123" s="110" t="n"/>
      <c r="N123" s="116" t="n"/>
      <c r="O123" s="185" t="n"/>
    </row>
    <row r="124" hidden="1" outlineLevel="1" ht="9" customHeight="1" s="59" thickBot="1">
      <c r="D124" s="112" t="n"/>
      <c r="E124" s="112" t="n"/>
      <c r="F124" s="112" t="n"/>
      <c r="H124" s="100" t="n"/>
      <c r="I124" s="100" t="n"/>
      <c r="J124" s="100" t="n"/>
      <c r="L124" s="112" t="n"/>
      <c r="M124" s="112" t="n"/>
      <c r="N124" s="112" t="n"/>
      <c r="O124" s="104" t="n"/>
    </row>
    <row r="125" hidden="1" outlineLevel="1" ht="24" customHeight="1" s="59">
      <c r="B125" s="73" t="inlineStr">
        <is>
          <t>[Enter Investor Name]</t>
        </is>
      </c>
      <c r="C125" s="74" t="inlineStr">
        <is>
          <t>1:</t>
        </is>
      </c>
      <c r="D125" s="105" t="n"/>
      <c r="E125" s="106" t="n"/>
      <c r="F125" s="106" t="n"/>
      <c r="G125" s="75" t="inlineStr">
        <is>
          <t>Most recent:</t>
        </is>
      </c>
      <c r="H125" s="76" t="n"/>
      <c r="I125" s="76" t="n"/>
      <c r="J125" s="101" t="n"/>
      <c r="K125" s="77" t="inlineStr">
        <is>
          <t>1:</t>
        </is>
      </c>
      <c r="L125" s="105" t="n"/>
      <c r="M125" s="106" t="n"/>
      <c r="N125" s="114" t="n"/>
      <c r="O125" s="137" t="n"/>
    </row>
    <row r="126" hidden="1" outlineLevel="1" ht="24" customHeight="1" s="59">
      <c r="B126" s="78" t="n"/>
      <c r="C126" s="39" t="inlineStr">
        <is>
          <t>2:</t>
        </is>
      </c>
      <c r="D126" s="107" t="n"/>
      <c r="E126" s="108" t="n"/>
      <c r="F126" s="108" t="n"/>
      <c r="G126" s="98" t="inlineStr">
        <is>
          <t>Historic:</t>
        </is>
      </c>
      <c r="H126" s="179" t="n"/>
      <c r="I126" s="180" t="n"/>
      <c r="J126" s="181" t="n"/>
      <c r="K126" s="31" t="inlineStr">
        <is>
          <t>2:</t>
        </is>
      </c>
      <c r="L126" s="107" t="n"/>
      <c r="M126" s="108" t="n"/>
      <c r="N126" s="115" t="n"/>
      <c r="O126" s="182" t="n"/>
    </row>
    <row r="127" hidden="1" outlineLevel="1" ht="24" customHeight="1" s="59" thickBot="1">
      <c r="B127" s="79" t="n"/>
      <c r="C127" s="80" t="inlineStr">
        <is>
          <t>3:</t>
        </is>
      </c>
      <c r="D127" s="109" t="n"/>
      <c r="E127" s="110" t="n"/>
      <c r="F127" s="110" t="n"/>
      <c r="G127" s="81" t="n"/>
      <c r="H127" s="183" t="n"/>
      <c r="I127" s="183" t="n"/>
      <c r="J127" s="184" t="n"/>
      <c r="K127" s="82" t="inlineStr">
        <is>
          <t>3:</t>
        </is>
      </c>
      <c r="L127" s="109" t="n"/>
      <c r="M127" s="110" t="n"/>
      <c r="N127" s="116" t="n"/>
      <c r="O127" s="185" t="n"/>
    </row>
    <row r="128" hidden="1" outlineLevel="1" ht="9" customHeight="1" s="59" thickBot="1">
      <c r="D128" s="112" t="n"/>
      <c r="E128" s="112" t="n"/>
      <c r="F128" s="112" t="n"/>
      <c r="H128" s="100" t="n"/>
      <c r="I128" s="100" t="n"/>
      <c r="J128" s="100" t="n"/>
      <c r="L128" s="112" t="n"/>
      <c r="M128" s="112" t="n"/>
      <c r="N128" s="112" t="n"/>
      <c r="O128" s="104" t="n"/>
    </row>
    <row r="129" hidden="1" outlineLevel="1" ht="24" customHeight="1" s="59">
      <c r="B129" s="73" t="inlineStr">
        <is>
          <t>[Enter Investor Name]</t>
        </is>
      </c>
      <c r="C129" s="74" t="inlineStr">
        <is>
          <t>1:</t>
        </is>
      </c>
      <c r="D129" s="105" t="n"/>
      <c r="E129" s="106" t="n"/>
      <c r="F129" s="106" t="n"/>
      <c r="G129" s="75" t="inlineStr">
        <is>
          <t>Most recent:</t>
        </is>
      </c>
      <c r="H129" s="76" t="n"/>
      <c r="I129" s="76" t="n"/>
      <c r="J129" s="101" t="n"/>
      <c r="K129" s="77" t="inlineStr">
        <is>
          <t>1:</t>
        </is>
      </c>
      <c r="L129" s="105" t="n"/>
      <c r="M129" s="106" t="n"/>
      <c r="N129" s="114" t="n"/>
      <c r="O129" s="137" t="n"/>
    </row>
    <row r="130" hidden="1" outlineLevel="1" ht="24" customHeight="1" s="59">
      <c r="B130" s="78" t="n"/>
      <c r="C130" s="39" t="inlineStr">
        <is>
          <t>2:</t>
        </is>
      </c>
      <c r="D130" s="107" t="n"/>
      <c r="E130" s="108" t="n"/>
      <c r="F130" s="108" t="n"/>
      <c r="G130" s="98" t="inlineStr">
        <is>
          <t>Historic:</t>
        </is>
      </c>
      <c r="H130" s="179" t="n"/>
      <c r="I130" s="180" t="n"/>
      <c r="J130" s="181" t="n"/>
      <c r="K130" s="31" t="inlineStr">
        <is>
          <t>2:</t>
        </is>
      </c>
      <c r="L130" s="107" t="n"/>
      <c r="M130" s="108" t="n"/>
      <c r="N130" s="115" t="n"/>
      <c r="O130" s="182" t="n"/>
    </row>
    <row r="131" hidden="1" outlineLevel="1" ht="24" customHeight="1" s="59" thickBot="1">
      <c r="B131" s="79" t="n"/>
      <c r="C131" s="80" t="inlineStr">
        <is>
          <t>3:</t>
        </is>
      </c>
      <c r="D131" s="109" t="n"/>
      <c r="E131" s="110" t="n"/>
      <c r="F131" s="110" t="n"/>
      <c r="G131" s="81" t="n"/>
      <c r="H131" s="183" t="n"/>
      <c r="I131" s="183" t="n"/>
      <c r="J131" s="184" t="n"/>
      <c r="K131" s="82" t="inlineStr">
        <is>
          <t>3:</t>
        </is>
      </c>
      <c r="L131" s="109" t="n"/>
      <c r="M131" s="110" t="n"/>
      <c r="N131" s="116" t="n"/>
      <c r="O131" s="185" t="n"/>
    </row>
    <row r="132" hidden="1" outlineLevel="1" ht="9" customHeight="1" s="59" thickBot="1">
      <c r="D132" s="112" t="n"/>
      <c r="E132" s="112" t="n"/>
      <c r="F132" s="112" t="n"/>
      <c r="H132" s="100" t="n"/>
      <c r="I132" s="100" t="n"/>
      <c r="J132" s="100" t="n"/>
      <c r="L132" s="112" t="n"/>
      <c r="M132" s="112" t="n"/>
      <c r="N132" s="112" t="n"/>
      <c r="O132" s="104" t="n"/>
    </row>
    <row r="133" hidden="1" outlineLevel="1" ht="24" customHeight="1" s="59">
      <c r="B133" s="73" t="inlineStr">
        <is>
          <t>[Enter Investor Name]</t>
        </is>
      </c>
      <c r="C133" s="74" t="inlineStr">
        <is>
          <t>1:</t>
        </is>
      </c>
      <c r="D133" s="105" t="n"/>
      <c r="E133" s="106" t="n"/>
      <c r="F133" s="106" t="n"/>
      <c r="G133" s="75" t="inlineStr">
        <is>
          <t>Most recent:</t>
        </is>
      </c>
      <c r="H133" s="76" t="n"/>
      <c r="I133" s="76" t="n"/>
      <c r="J133" s="101" t="n"/>
      <c r="K133" s="77" t="inlineStr">
        <is>
          <t>1:</t>
        </is>
      </c>
      <c r="L133" s="105" t="n"/>
      <c r="M133" s="106" t="n"/>
      <c r="N133" s="114" t="n"/>
      <c r="O133" s="137" t="n"/>
    </row>
    <row r="134" hidden="1" outlineLevel="1" ht="24" customHeight="1" s="59">
      <c r="B134" s="78" t="n"/>
      <c r="C134" s="39" t="inlineStr">
        <is>
          <t>2:</t>
        </is>
      </c>
      <c r="D134" s="107" t="n"/>
      <c r="E134" s="108" t="n"/>
      <c r="F134" s="108" t="n"/>
      <c r="G134" s="98" t="inlineStr">
        <is>
          <t>Historic:</t>
        </is>
      </c>
      <c r="H134" s="179" t="n"/>
      <c r="I134" s="180" t="n"/>
      <c r="J134" s="181" t="n"/>
      <c r="K134" s="31" t="inlineStr">
        <is>
          <t>2:</t>
        </is>
      </c>
      <c r="L134" s="107" t="n"/>
      <c r="M134" s="108" t="n"/>
      <c r="N134" s="115" t="n"/>
      <c r="O134" s="182" t="n"/>
    </row>
    <row r="135" hidden="1" outlineLevel="1" ht="24" customHeight="1" s="59" thickBot="1">
      <c r="B135" s="79" t="n"/>
      <c r="C135" s="80" t="inlineStr">
        <is>
          <t>3:</t>
        </is>
      </c>
      <c r="D135" s="109" t="n"/>
      <c r="E135" s="110" t="n"/>
      <c r="F135" s="110" t="n"/>
      <c r="G135" s="81" t="n"/>
      <c r="H135" s="183" t="n"/>
      <c r="I135" s="183" t="n"/>
      <c r="J135" s="184" t="n"/>
      <c r="K135" s="82" t="inlineStr">
        <is>
          <t>3:</t>
        </is>
      </c>
      <c r="L135" s="109" t="n"/>
      <c r="M135" s="110" t="n"/>
      <c r="N135" s="116" t="n"/>
      <c r="O135" s="185" t="n"/>
    </row>
    <row r="136" hidden="1" outlineLevel="1" ht="9" customHeight="1" s="59" thickBot="1">
      <c r="D136" s="112" t="n"/>
      <c r="E136" s="112" t="n"/>
      <c r="F136" s="112" t="n"/>
      <c r="H136" s="100" t="n"/>
      <c r="I136" s="100" t="n"/>
      <c r="J136" s="100" t="n"/>
      <c r="L136" s="112" t="n"/>
      <c r="M136" s="112" t="n"/>
      <c r="N136" s="112" t="n"/>
      <c r="O136" s="104" t="n"/>
    </row>
    <row r="137" hidden="1" outlineLevel="1" ht="24" customHeight="1" s="59">
      <c r="B137" s="73" t="inlineStr">
        <is>
          <t>[Enter Investor Name]</t>
        </is>
      </c>
      <c r="C137" s="74" t="inlineStr">
        <is>
          <t>1:</t>
        </is>
      </c>
      <c r="D137" s="105" t="n"/>
      <c r="E137" s="106" t="n"/>
      <c r="F137" s="106" t="n"/>
      <c r="G137" s="75" t="inlineStr">
        <is>
          <t>Most recent:</t>
        </is>
      </c>
      <c r="H137" s="76" t="n"/>
      <c r="I137" s="76" t="n"/>
      <c r="J137" s="101" t="n"/>
      <c r="K137" s="77" t="inlineStr">
        <is>
          <t>1:</t>
        </is>
      </c>
      <c r="L137" s="105" t="n"/>
      <c r="M137" s="106" t="n"/>
      <c r="N137" s="114" t="n"/>
      <c r="O137" s="137" t="n"/>
    </row>
    <row r="138" hidden="1" outlineLevel="1" ht="24" customHeight="1" s="59">
      <c r="B138" s="78" t="n"/>
      <c r="C138" s="39" t="inlineStr">
        <is>
          <t>2:</t>
        </is>
      </c>
      <c r="D138" s="107" t="n"/>
      <c r="E138" s="108" t="n"/>
      <c r="F138" s="108" t="n"/>
      <c r="G138" s="98" t="inlineStr">
        <is>
          <t>Historic:</t>
        </is>
      </c>
      <c r="H138" s="179" t="n"/>
      <c r="I138" s="180" t="n"/>
      <c r="J138" s="181" t="n"/>
      <c r="K138" s="31" t="inlineStr">
        <is>
          <t>2:</t>
        </is>
      </c>
      <c r="L138" s="107" t="n"/>
      <c r="M138" s="108" t="n"/>
      <c r="N138" s="115" t="n"/>
      <c r="O138" s="182" t="n"/>
    </row>
    <row r="139" hidden="1" outlineLevel="1" ht="24" customHeight="1" s="59" thickBot="1">
      <c r="B139" s="79" t="n"/>
      <c r="C139" s="80" t="inlineStr">
        <is>
          <t>3:</t>
        </is>
      </c>
      <c r="D139" s="109" t="n"/>
      <c r="E139" s="110" t="n"/>
      <c r="F139" s="110" t="n"/>
      <c r="G139" s="81" t="n"/>
      <c r="H139" s="183" t="n"/>
      <c r="I139" s="183" t="n"/>
      <c r="J139" s="184" t="n"/>
      <c r="K139" s="82" t="inlineStr">
        <is>
          <t>3:</t>
        </is>
      </c>
      <c r="L139" s="109" t="n"/>
      <c r="M139" s="110" t="n"/>
      <c r="N139" s="116" t="n"/>
      <c r="O139" s="185" t="n"/>
    </row>
    <row r="140" hidden="1" outlineLevel="1" ht="9" customHeight="1" s="59" thickBot="1">
      <c r="D140" s="112" t="n"/>
      <c r="E140" s="112" t="n"/>
      <c r="F140" s="112" t="n"/>
      <c r="H140" s="100" t="n"/>
      <c r="I140" s="100" t="n"/>
      <c r="J140" s="100" t="n"/>
      <c r="L140" s="112" t="n"/>
      <c r="M140" s="112" t="n"/>
      <c r="N140" s="112" t="n"/>
      <c r="O140" s="104" t="n"/>
    </row>
    <row r="141" hidden="1" outlineLevel="1" ht="24" customHeight="1" s="59">
      <c r="B141" s="73" t="inlineStr">
        <is>
          <t>[Enter Investor Name]</t>
        </is>
      </c>
      <c r="C141" s="74" t="inlineStr">
        <is>
          <t>1:</t>
        </is>
      </c>
      <c r="D141" s="105" t="n"/>
      <c r="E141" s="106" t="n"/>
      <c r="F141" s="106" t="n"/>
      <c r="G141" s="75" t="inlineStr">
        <is>
          <t>Most recent:</t>
        </is>
      </c>
      <c r="H141" s="76" t="n"/>
      <c r="I141" s="76" t="n"/>
      <c r="J141" s="101" t="n"/>
      <c r="K141" s="77" t="inlineStr">
        <is>
          <t>1:</t>
        </is>
      </c>
      <c r="L141" s="105" t="n"/>
      <c r="M141" s="106" t="n"/>
      <c r="N141" s="114" t="n"/>
      <c r="O141" s="137" t="n"/>
    </row>
    <row r="142" hidden="1" outlineLevel="1" ht="24" customHeight="1" s="59">
      <c r="B142" s="78" t="n"/>
      <c r="C142" s="39" t="inlineStr">
        <is>
          <t>2:</t>
        </is>
      </c>
      <c r="D142" s="107" t="n"/>
      <c r="E142" s="108" t="n"/>
      <c r="F142" s="108" t="n"/>
      <c r="G142" s="98" t="inlineStr">
        <is>
          <t>Historic:</t>
        </is>
      </c>
      <c r="H142" s="179" t="n"/>
      <c r="I142" s="180" t="n"/>
      <c r="J142" s="181" t="n"/>
      <c r="K142" s="31" t="inlineStr">
        <is>
          <t>2:</t>
        </is>
      </c>
      <c r="L142" s="107" t="n"/>
      <c r="M142" s="108" t="n"/>
      <c r="N142" s="115" t="n"/>
      <c r="O142" s="182" t="n"/>
    </row>
    <row r="143" hidden="1" outlineLevel="1" ht="24" customHeight="1" s="59" thickBot="1">
      <c r="B143" s="79" t="n"/>
      <c r="C143" s="80" t="inlineStr">
        <is>
          <t>3:</t>
        </is>
      </c>
      <c r="D143" s="109" t="n"/>
      <c r="E143" s="110" t="n"/>
      <c r="F143" s="110" t="n"/>
      <c r="G143" s="81" t="n"/>
      <c r="H143" s="183" t="n"/>
      <c r="I143" s="183" t="n"/>
      <c r="J143" s="184" t="n"/>
      <c r="K143" s="82" t="inlineStr">
        <is>
          <t>3:</t>
        </is>
      </c>
      <c r="L143" s="109" t="n"/>
      <c r="M143" s="110" t="n"/>
      <c r="N143" s="116" t="n"/>
      <c r="O143" s="185" t="n"/>
    </row>
    <row r="144" hidden="1" outlineLevel="1" ht="9" customHeight="1" s="59" thickBot="1">
      <c r="D144" s="112" t="n"/>
      <c r="E144" s="112" t="n"/>
      <c r="F144" s="112" t="n"/>
      <c r="H144" s="100" t="n"/>
      <c r="I144" s="100" t="n"/>
      <c r="J144" s="100" t="n"/>
      <c r="L144" s="112" t="n"/>
      <c r="M144" s="112" t="n"/>
      <c r="N144" s="112" t="n"/>
      <c r="O144" s="104" t="n"/>
    </row>
    <row r="145" hidden="1" outlineLevel="1" ht="24" customHeight="1" s="59">
      <c r="B145" s="73" t="inlineStr">
        <is>
          <t>[Enter Investor Name]</t>
        </is>
      </c>
      <c r="C145" s="74" t="inlineStr">
        <is>
          <t>1:</t>
        </is>
      </c>
      <c r="D145" s="105" t="n"/>
      <c r="E145" s="106" t="n"/>
      <c r="F145" s="106" t="n"/>
      <c r="G145" s="75" t="inlineStr">
        <is>
          <t>Most recent:</t>
        </is>
      </c>
      <c r="H145" s="76" t="n"/>
      <c r="I145" s="76" t="n"/>
      <c r="J145" s="101" t="n"/>
      <c r="K145" s="77" t="inlineStr">
        <is>
          <t>1:</t>
        </is>
      </c>
      <c r="L145" s="105" t="n"/>
      <c r="M145" s="106" t="n"/>
      <c r="N145" s="114" t="n"/>
      <c r="O145" s="137" t="n"/>
    </row>
    <row r="146" hidden="1" outlineLevel="1" ht="24" customHeight="1" s="59">
      <c r="B146" s="78" t="n"/>
      <c r="C146" s="39" t="inlineStr">
        <is>
          <t>2:</t>
        </is>
      </c>
      <c r="D146" s="107" t="n"/>
      <c r="E146" s="108" t="n"/>
      <c r="F146" s="108" t="n"/>
      <c r="G146" s="98" t="inlineStr">
        <is>
          <t>Historic:</t>
        </is>
      </c>
      <c r="H146" s="179" t="n"/>
      <c r="I146" s="180" t="n"/>
      <c r="J146" s="181" t="n"/>
      <c r="K146" s="31" t="inlineStr">
        <is>
          <t>2:</t>
        </is>
      </c>
      <c r="L146" s="107" t="n"/>
      <c r="M146" s="108" t="n"/>
      <c r="N146" s="115" t="n"/>
      <c r="O146" s="182" t="n"/>
    </row>
    <row r="147" hidden="1" outlineLevel="1" ht="24" customHeight="1" s="59" thickBot="1">
      <c r="B147" s="79" t="n"/>
      <c r="C147" s="80" t="inlineStr">
        <is>
          <t>3:</t>
        </is>
      </c>
      <c r="D147" s="109" t="n"/>
      <c r="E147" s="110" t="n"/>
      <c r="F147" s="110" t="n"/>
      <c r="G147" s="81" t="n"/>
      <c r="H147" s="183" t="n"/>
      <c r="I147" s="183" t="n"/>
      <c r="J147" s="184" t="n"/>
      <c r="K147" s="82" t="inlineStr">
        <is>
          <t>3:</t>
        </is>
      </c>
      <c r="L147" s="109" t="n"/>
      <c r="M147" s="110" t="n"/>
      <c r="N147" s="116" t="n"/>
      <c r="O147" s="185" t="n"/>
    </row>
    <row r="148" hidden="1" outlineLevel="1" ht="9" customHeight="1" s="59" thickBot="1">
      <c r="D148" s="112" t="n"/>
      <c r="E148" s="112" t="n"/>
      <c r="F148" s="112" t="n"/>
      <c r="H148" s="100" t="n"/>
      <c r="I148" s="100" t="n"/>
      <c r="J148" s="100" t="n"/>
      <c r="L148" s="112" t="n"/>
      <c r="M148" s="112" t="n"/>
      <c r="N148" s="112" t="n"/>
      <c r="O148" s="104" t="n"/>
    </row>
    <row r="149" hidden="1" outlineLevel="1" ht="24" customHeight="1" s="59">
      <c r="B149" s="73" t="inlineStr">
        <is>
          <t>[Enter Investor Name]</t>
        </is>
      </c>
      <c r="C149" s="74" t="inlineStr">
        <is>
          <t>1:</t>
        </is>
      </c>
      <c r="D149" s="105" t="n"/>
      <c r="E149" s="106" t="n"/>
      <c r="F149" s="106" t="n"/>
      <c r="G149" s="75" t="inlineStr">
        <is>
          <t>Most recent:</t>
        </is>
      </c>
      <c r="H149" s="76" t="n"/>
      <c r="I149" s="76" t="n"/>
      <c r="J149" s="101" t="n"/>
      <c r="K149" s="77" t="inlineStr">
        <is>
          <t>1:</t>
        </is>
      </c>
      <c r="L149" s="105" t="n"/>
      <c r="M149" s="106" t="n"/>
      <c r="N149" s="114" t="n"/>
      <c r="O149" s="137" t="n"/>
    </row>
    <row r="150" hidden="1" outlineLevel="1" ht="24" customHeight="1" s="59">
      <c r="B150" s="78" t="n"/>
      <c r="C150" s="39" t="inlineStr">
        <is>
          <t>2:</t>
        </is>
      </c>
      <c r="D150" s="107" t="n"/>
      <c r="E150" s="108" t="n"/>
      <c r="F150" s="108" t="n"/>
      <c r="G150" s="98" t="inlineStr">
        <is>
          <t>Historic:</t>
        </is>
      </c>
      <c r="H150" s="179" t="n"/>
      <c r="I150" s="180" t="n"/>
      <c r="J150" s="181" t="n"/>
      <c r="K150" s="31" t="inlineStr">
        <is>
          <t>2:</t>
        </is>
      </c>
      <c r="L150" s="107" t="n"/>
      <c r="M150" s="108" t="n"/>
      <c r="N150" s="115" t="n"/>
      <c r="O150" s="182" t="n"/>
    </row>
    <row r="151" hidden="1" outlineLevel="1" ht="24" customHeight="1" s="59" thickBot="1">
      <c r="B151" s="79" t="n"/>
      <c r="C151" s="80" t="inlineStr">
        <is>
          <t>3:</t>
        </is>
      </c>
      <c r="D151" s="109" t="n"/>
      <c r="E151" s="110" t="n"/>
      <c r="F151" s="110" t="n"/>
      <c r="G151" s="81" t="n"/>
      <c r="H151" s="183" t="n"/>
      <c r="I151" s="183" t="n"/>
      <c r="J151" s="184" t="n"/>
      <c r="K151" s="82" t="inlineStr">
        <is>
          <t>3:</t>
        </is>
      </c>
      <c r="L151" s="109" t="n"/>
      <c r="M151" s="110" t="n"/>
      <c r="N151" s="116" t="n"/>
      <c r="O151" s="185" t="n"/>
    </row>
    <row r="152" hidden="1" outlineLevel="1" ht="9" customHeight="1" s="59" thickBot="1">
      <c r="D152" s="112" t="n"/>
      <c r="E152" s="112" t="n"/>
      <c r="F152" s="112" t="n"/>
      <c r="H152" s="100" t="n"/>
      <c r="I152" s="100" t="n"/>
      <c r="J152" s="100" t="n"/>
      <c r="L152" s="112" t="n"/>
      <c r="M152" s="112" t="n"/>
      <c r="N152" s="112" t="n"/>
      <c r="O152" s="104" t="n"/>
    </row>
    <row r="153" hidden="1" outlineLevel="1" ht="24" customHeight="1" s="59">
      <c r="B153" s="73" t="inlineStr">
        <is>
          <t>[Enter Investor Name]</t>
        </is>
      </c>
      <c r="C153" s="74" t="inlineStr">
        <is>
          <t>1:</t>
        </is>
      </c>
      <c r="D153" s="105" t="n"/>
      <c r="E153" s="106" t="n"/>
      <c r="F153" s="106" t="n"/>
      <c r="G153" s="75" t="inlineStr">
        <is>
          <t>Most recent:</t>
        </is>
      </c>
      <c r="H153" s="76" t="n"/>
      <c r="I153" s="76" t="n"/>
      <c r="J153" s="101" t="n"/>
      <c r="K153" s="77" t="inlineStr">
        <is>
          <t>1:</t>
        </is>
      </c>
      <c r="L153" s="105" t="n"/>
      <c r="M153" s="106" t="n"/>
      <c r="N153" s="114" t="n"/>
      <c r="O153" s="137" t="n"/>
    </row>
    <row r="154" hidden="1" outlineLevel="1" ht="24" customHeight="1" s="59">
      <c r="B154" s="78" t="n"/>
      <c r="C154" s="39" t="inlineStr">
        <is>
          <t>2:</t>
        </is>
      </c>
      <c r="D154" s="107" t="n"/>
      <c r="E154" s="108" t="n"/>
      <c r="F154" s="108" t="n"/>
      <c r="G154" s="98" t="inlineStr">
        <is>
          <t>Historic:</t>
        </is>
      </c>
      <c r="H154" s="179" t="n"/>
      <c r="I154" s="180" t="n"/>
      <c r="J154" s="181" t="n"/>
      <c r="K154" s="31" t="inlineStr">
        <is>
          <t>2:</t>
        </is>
      </c>
      <c r="L154" s="107" t="n"/>
      <c r="M154" s="108" t="n"/>
      <c r="N154" s="115" t="n"/>
      <c r="O154" s="182" t="n"/>
    </row>
    <row r="155" hidden="1" outlineLevel="1" ht="24" customHeight="1" s="59" thickBot="1">
      <c r="B155" s="79" t="n"/>
      <c r="C155" s="80" t="inlineStr">
        <is>
          <t>3:</t>
        </is>
      </c>
      <c r="D155" s="109" t="n"/>
      <c r="E155" s="110" t="n"/>
      <c r="F155" s="110" t="n"/>
      <c r="G155" s="81" t="n"/>
      <c r="H155" s="183" t="n"/>
      <c r="I155" s="183" t="n"/>
      <c r="J155" s="184" t="n"/>
      <c r="K155" s="82" t="inlineStr">
        <is>
          <t>3:</t>
        </is>
      </c>
      <c r="L155" s="109" t="n"/>
      <c r="M155" s="110" t="n"/>
      <c r="N155" s="116" t="n"/>
      <c r="O155" s="185" t="n"/>
    </row>
    <row r="156" hidden="1" outlineLevel="1" ht="9" customHeight="1" s="59" thickBot="1">
      <c r="D156" s="112" t="n"/>
      <c r="E156" s="112" t="n"/>
      <c r="F156" s="112" t="n"/>
      <c r="H156" s="100" t="n"/>
      <c r="I156" s="100" t="n"/>
      <c r="J156" s="100" t="n"/>
      <c r="L156" s="112" t="n"/>
      <c r="M156" s="112" t="n"/>
      <c r="N156" s="112" t="n"/>
      <c r="O156" s="104" t="n"/>
    </row>
    <row r="157" hidden="1" outlineLevel="1" ht="24" customHeight="1" s="59">
      <c r="B157" s="73" t="inlineStr">
        <is>
          <t>[Enter Investor Name]</t>
        </is>
      </c>
      <c r="C157" s="74" t="inlineStr">
        <is>
          <t>1:</t>
        </is>
      </c>
      <c r="D157" s="105" t="n"/>
      <c r="E157" s="106" t="n"/>
      <c r="F157" s="106" t="n"/>
      <c r="G157" s="75" t="inlineStr">
        <is>
          <t>Most recent:</t>
        </is>
      </c>
      <c r="H157" s="76" t="n"/>
      <c r="I157" s="76" t="n"/>
      <c r="J157" s="101" t="n"/>
      <c r="K157" s="77" t="inlineStr">
        <is>
          <t>1:</t>
        </is>
      </c>
      <c r="L157" s="105" t="n"/>
      <c r="M157" s="106" t="n"/>
      <c r="N157" s="114" t="n"/>
      <c r="O157" s="137" t="n"/>
    </row>
    <row r="158" hidden="1" outlineLevel="1" ht="24" customHeight="1" s="59">
      <c r="B158" s="78" t="n"/>
      <c r="C158" s="39" t="inlineStr">
        <is>
          <t>2:</t>
        </is>
      </c>
      <c r="D158" s="107" t="n"/>
      <c r="E158" s="108" t="n"/>
      <c r="F158" s="108" t="n"/>
      <c r="G158" s="98" t="inlineStr">
        <is>
          <t>Historic:</t>
        </is>
      </c>
      <c r="H158" s="179" t="n"/>
      <c r="I158" s="180" t="n"/>
      <c r="J158" s="181" t="n"/>
      <c r="K158" s="31" t="inlineStr">
        <is>
          <t>2:</t>
        </is>
      </c>
      <c r="L158" s="107" t="n"/>
      <c r="M158" s="108" t="n"/>
      <c r="N158" s="115" t="n"/>
      <c r="O158" s="182" t="n"/>
    </row>
    <row r="159" hidden="1" outlineLevel="1" ht="24" customHeight="1" s="59" thickBot="1">
      <c r="B159" s="79" t="n"/>
      <c r="C159" s="80" t="inlineStr">
        <is>
          <t>3:</t>
        </is>
      </c>
      <c r="D159" s="109" t="n"/>
      <c r="E159" s="110" t="n"/>
      <c r="F159" s="110" t="n"/>
      <c r="G159" s="81" t="n"/>
      <c r="H159" s="183" t="n"/>
      <c r="I159" s="183" t="n"/>
      <c r="J159" s="184" t="n"/>
      <c r="K159" s="82" t="inlineStr">
        <is>
          <t>3:</t>
        </is>
      </c>
      <c r="L159" s="109" t="n"/>
      <c r="M159" s="110" t="n"/>
      <c r="N159" s="116" t="n"/>
      <c r="O159" s="185" t="n"/>
    </row>
    <row r="160" collapsed="1" s="59">
      <c r="D160" s="112" t="n"/>
      <c r="E160" s="112" t="n"/>
      <c r="F160" s="112" t="n"/>
      <c r="H160" s="100" t="n"/>
      <c r="I160" s="100" t="n"/>
      <c r="J160" s="100" t="n"/>
      <c r="L160" s="112" t="n"/>
      <c r="M160" s="112" t="n"/>
      <c r="N160" s="112" t="n"/>
      <c r="O160" s="104" t="n"/>
    </row>
    <row r="161" ht="9" customHeight="1" s="59">
      <c r="D161" s="112" t="n"/>
      <c r="E161" s="112" t="n"/>
      <c r="F161" s="112" t="n"/>
      <c r="H161" s="100" t="n"/>
      <c r="I161" s="100" t="n"/>
      <c r="J161" s="100" t="n"/>
      <c r="L161" s="112" t="n"/>
      <c r="M161" s="112" t="n"/>
      <c r="N161" s="112" t="n"/>
      <c r="O161" s="104" t="n"/>
    </row>
    <row r="162" hidden="1" outlineLevel="1" ht="24" customHeight="1" s="59">
      <c r="B162" s="73" t="n"/>
      <c r="C162" s="74" t="inlineStr">
        <is>
          <t>1:</t>
        </is>
      </c>
      <c r="D162" s="105" t="n"/>
      <c r="E162" s="106" t="n"/>
      <c r="F162" s="106" t="n"/>
      <c r="G162" s="75" t="inlineStr">
        <is>
          <t>Most recent:</t>
        </is>
      </c>
      <c r="H162" s="76" t="n"/>
      <c r="I162" s="76" t="n"/>
      <c r="J162" s="101" t="n"/>
      <c r="K162" s="77" t="inlineStr">
        <is>
          <t>1:</t>
        </is>
      </c>
      <c r="L162" s="105" t="n"/>
      <c r="M162" s="106" t="n"/>
      <c r="N162" s="114" t="n"/>
      <c r="O162" s="137" t="n"/>
    </row>
    <row r="163" hidden="1" outlineLevel="1" ht="24" customHeight="1" s="59">
      <c r="B163" s="78" t="n"/>
      <c r="C163" s="39" t="inlineStr">
        <is>
          <t>2:</t>
        </is>
      </c>
      <c r="D163" s="107" t="n"/>
      <c r="E163" s="108" t="n"/>
      <c r="F163" s="108" t="n"/>
      <c r="G163" s="98" t="inlineStr">
        <is>
          <t>Historic:</t>
        </is>
      </c>
      <c r="H163" s="179" t="n"/>
      <c r="I163" s="180" t="n"/>
      <c r="J163" s="181" t="n"/>
      <c r="K163" s="31" t="inlineStr">
        <is>
          <t>2:</t>
        </is>
      </c>
      <c r="L163" s="107" t="n"/>
      <c r="M163" s="108" t="n"/>
      <c r="N163" s="115" t="n"/>
      <c r="O163" s="182" t="n"/>
    </row>
    <row r="164" hidden="1" outlineLevel="1" ht="24" customHeight="1" s="59" thickBot="1">
      <c r="B164" s="79" t="n"/>
      <c r="C164" s="80" t="inlineStr">
        <is>
          <t>3:</t>
        </is>
      </c>
      <c r="D164" s="109" t="n"/>
      <c r="E164" s="110" t="n"/>
      <c r="F164" s="110" t="n"/>
      <c r="G164" s="81" t="n"/>
      <c r="H164" s="183" t="n"/>
      <c r="I164" s="183" t="n"/>
      <c r="J164" s="184" t="n"/>
      <c r="K164" s="82" t="inlineStr">
        <is>
          <t>3:</t>
        </is>
      </c>
      <c r="L164" s="109" t="n"/>
      <c r="M164" s="110" t="n"/>
      <c r="N164" s="116" t="n"/>
      <c r="O164" s="185" t="n"/>
    </row>
    <row r="165" hidden="1" outlineLevel="1" ht="9" customHeight="1" s="59" thickBot="1">
      <c r="D165" s="112" t="n"/>
      <c r="E165" s="112" t="n"/>
      <c r="F165" s="112" t="n"/>
      <c r="H165" s="100" t="n"/>
      <c r="I165" s="100" t="n"/>
      <c r="J165" s="100" t="n"/>
      <c r="L165" s="112" t="n"/>
      <c r="M165" s="112" t="n"/>
      <c r="N165" s="112" t="n"/>
      <c r="O165" s="104" t="n"/>
    </row>
    <row r="166" hidden="1" outlineLevel="1" ht="24" customHeight="1" s="59">
      <c r="B166" s="73" t="n"/>
      <c r="C166" s="74" t="inlineStr">
        <is>
          <t>1:</t>
        </is>
      </c>
      <c r="D166" s="105" t="n"/>
      <c r="E166" s="106" t="n"/>
      <c r="F166" s="106" t="n"/>
      <c r="G166" s="75" t="inlineStr">
        <is>
          <t>Most recent:</t>
        </is>
      </c>
      <c r="H166" s="76" t="n"/>
      <c r="I166" s="76" t="n"/>
      <c r="J166" s="101" t="n"/>
      <c r="K166" s="77" t="inlineStr">
        <is>
          <t>1:</t>
        </is>
      </c>
      <c r="L166" s="105" t="n"/>
      <c r="M166" s="106" t="n"/>
      <c r="N166" s="114" t="n"/>
      <c r="O166" s="137" t="n"/>
    </row>
    <row r="167" hidden="1" outlineLevel="1" ht="24" customHeight="1" s="59">
      <c r="B167" s="78" t="n"/>
      <c r="C167" s="39" t="inlineStr">
        <is>
          <t>2:</t>
        </is>
      </c>
      <c r="D167" s="107" t="n"/>
      <c r="E167" s="108" t="n"/>
      <c r="F167" s="108" t="n"/>
      <c r="G167" s="98" t="inlineStr">
        <is>
          <t>Historic:</t>
        </is>
      </c>
      <c r="H167" s="179" t="n"/>
      <c r="I167" s="180" t="n"/>
      <c r="J167" s="181" t="n"/>
      <c r="K167" s="31" t="inlineStr">
        <is>
          <t>2:</t>
        </is>
      </c>
      <c r="L167" s="107" t="n"/>
      <c r="M167" s="108" t="n"/>
      <c r="N167" s="115" t="n"/>
      <c r="O167" s="182" t="n"/>
    </row>
    <row r="168" hidden="1" outlineLevel="1" ht="24" customHeight="1" s="59" thickBot="1">
      <c r="B168" s="79" t="n"/>
      <c r="C168" s="80" t="inlineStr">
        <is>
          <t>3:</t>
        </is>
      </c>
      <c r="D168" s="109" t="n"/>
      <c r="E168" s="110" t="n"/>
      <c r="F168" s="110" t="n"/>
      <c r="G168" s="81" t="n"/>
      <c r="H168" s="183" t="n"/>
      <c r="I168" s="183" t="n"/>
      <c r="J168" s="184" t="n"/>
      <c r="K168" s="82" t="inlineStr">
        <is>
          <t>3:</t>
        </is>
      </c>
      <c r="L168" s="109" t="n"/>
      <c r="M168" s="110" t="n"/>
      <c r="N168" s="116" t="n"/>
      <c r="O168" s="185" t="n"/>
    </row>
    <row r="169" hidden="1" outlineLevel="1" ht="9" customHeight="1" s="59" thickBot="1">
      <c r="D169" s="112" t="n"/>
      <c r="E169" s="112" t="n"/>
      <c r="F169" s="112" t="n"/>
      <c r="H169" s="100" t="n"/>
      <c r="I169" s="100" t="n"/>
      <c r="J169" s="100" t="n"/>
      <c r="L169" s="112" t="n"/>
      <c r="M169" s="112" t="n"/>
      <c r="N169" s="112" t="n"/>
      <c r="O169" s="104" t="n"/>
    </row>
    <row r="170" hidden="1" outlineLevel="1" ht="24" customHeight="1" s="59">
      <c r="B170" s="73" t="n"/>
      <c r="C170" s="74" t="inlineStr">
        <is>
          <t>1:</t>
        </is>
      </c>
      <c r="D170" s="105" t="n"/>
      <c r="E170" s="106" t="n"/>
      <c r="F170" s="106" t="n"/>
      <c r="G170" s="75" t="inlineStr">
        <is>
          <t>Most recent:</t>
        </is>
      </c>
      <c r="H170" s="76" t="n"/>
      <c r="I170" s="76" t="n"/>
      <c r="J170" s="101" t="n"/>
      <c r="K170" s="77" t="inlineStr">
        <is>
          <t>1:</t>
        </is>
      </c>
      <c r="L170" s="105" t="n"/>
      <c r="M170" s="106" t="n"/>
      <c r="N170" s="114" t="n"/>
      <c r="O170" s="137" t="n"/>
    </row>
    <row r="171" hidden="1" outlineLevel="1" ht="24" customHeight="1" s="59">
      <c r="B171" s="78" t="n"/>
      <c r="C171" s="39" t="inlineStr">
        <is>
          <t>2:</t>
        </is>
      </c>
      <c r="D171" s="107" t="n"/>
      <c r="E171" s="108" t="n"/>
      <c r="F171" s="108" t="n"/>
      <c r="G171" s="98" t="inlineStr">
        <is>
          <t>Historic:</t>
        </is>
      </c>
      <c r="H171" s="179" t="n"/>
      <c r="I171" s="180" t="n"/>
      <c r="J171" s="181" t="n"/>
      <c r="K171" s="31" t="inlineStr">
        <is>
          <t>2:</t>
        </is>
      </c>
      <c r="L171" s="107" t="n"/>
      <c r="M171" s="108" t="n"/>
      <c r="N171" s="115" t="n"/>
      <c r="O171" s="182" t="n"/>
    </row>
    <row r="172" hidden="1" outlineLevel="1" ht="24" customHeight="1" s="59" thickBot="1">
      <c r="B172" s="79" t="n"/>
      <c r="C172" s="80" t="inlineStr">
        <is>
          <t>3:</t>
        </is>
      </c>
      <c r="D172" s="109" t="n"/>
      <c r="E172" s="110" t="n"/>
      <c r="F172" s="110" t="n"/>
      <c r="G172" s="81" t="n"/>
      <c r="H172" s="183" t="n"/>
      <c r="I172" s="183" t="n"/>
      <c r="J172" s="184" t="n"/>
      <c r="K172" s="82" t="inlineStr">
        <is>
          <t>3:</t>
        </is>
      </c>
      <c r="L172" s="109" t="n"/>
      <c r="M172" s="110" t="n"/>
      <c r="N172" s="116" t="n"/>
      <c r="O172" s="185" t="n"/>
    </row>
    <row r="173" hidden="1" outlineLevel="1" ht="9" customHeight="1" s="59" thickBot="1">
      <c r="D173" s="112" t="n"/>
      <c r="E173" s="112" t="n"/>
      <c r="F173" s="112" t="n"/>
      <c r="H173" s="100" t="n"/>
      <c r="I173" s="100" t="n"/>
      <c r="J173" s="100" t="n"/>
      <c r="L173" s="112" t="n"/>
      <c r="M173" s="112" t="n"/>
      <c r="N173" s="112" t="n"/>
      <c r="O173" s="104" t="n"/>
    </row>
    <row r="174" hidden="1" outlineLevel="1" ht="24" customHeight="1" s="59">
      <c r="B174" s="73" t="n"/>
      <c r="C174" s="74" t="inlineStr">
        <is>
          <t>1:</t>
        </is>
      </c>
      <c r="D174" s="105" t="n"/>
      <c r="E174" s="106" t="n"/>
      <c r="F174" s="106" t="n"/>
      <c r="G174" s="75" t="inlineStr">
        <is>
          <t>Most recent:</t>
        </is>
      </c>
      <c r="H174" s="76" t="n"/>
      <c r="I174" s="76" t="n"/>
      <c r="J174" s="101" t="n"/>
      <c r="K174" s="77" t="inlineStr">
        <is>
          <t>1:</t>
        </is>
      </c>
      <c r="L174" s="105" t="n"/>
      <c r="M174" s="106" t="n"/>
      <c r="N174" s="114" t="n"/>
      <c r="O174" s="137" t="n"/>
    </row>
    <row r="175" hidden="1" outlineLevel="1" ht="24" customHeight="1" s="59">
      <c r="B175" s="78" t="n"/>
      <c r="C175" s="39" t="inlineStr">
        <is>
          <t>2:</t>
        </is>
      </c>
      <c r="D175" s="107" t="n"/>
      <c r="E175" s="108" t="n"/>
      <c r="F175" s="108" t="n"/>
      <c r="G175" s="98" t="inlineStr">
        <is>
          <t>Historic:</t>
        </is>
      </c>
      <c r="H175" s="179" t="n"/>
      <c r="I175" s="180" t="n"/>
      <c r="J175" s="181" t="n"/>
      <c r="K175" s="31" t="inlineStr">
        <is>
          <t>2:</t>
        </is>
      </c>
      <c r="L175" s="107" t="n"/>
      <c r="M175" s="108" t="n"/>
      <c r="N175" s="115" t="n"/>
      <c r="O175" s="182" t="n"/>
    </row>
    <row r="176" hidden="1" outlineLevel="1" ht="24" customHeight="1" s="59" thickBot="1">
      <c r="B176" s="79" t="n"/>
      <c r="C176" s="80" t="inlineStr">
        <is>
          <t>3:</t>
        </is>
      </c>
      <c r="D176" s="109" t="n"/>
      <c r="E176" s="110" t="n"/>
      <c r="F176" s="110" t="n"/>
      <c r="G176" s="81" t="n"/>
      <c r="H176" s="183" t="n"/>
      <c r="I176" s="183" t="n"/>
      <c r="J176" s="184" t="n"/>
      <c r="K176" s="82" t="inlineStr">
        <is>
          <t>3:</t>
        </is>
      </c>
      <c r="L176" s="109" t="n"/>
      <c r="M176" s="110" t="n"/>
      <c r="N176" s="116" t="n"/>
      <c r="O176" s="185" t="n"/>
    </row>
    <row r="177" hidden="1" outlineLevel="1" ht="9" customHeight="1" s="59" thickBot="1">
      <c r="D177" s="112" t="n"/>
      <c r="E177" s="112" t="n"/>
      <c r="F177" s="112" t="n"/>
      <c r="H177" s="100" t="n"/>
      <c r="I177" s="100" t="n"/>
      <c r="J177" s="100" t="n"/>
      <c r="L177" s="112" t="n"/>
      <c r="M177" s="112" t="n"/>
      <c r="N177" s="112" t="n"/>
      <c r="O177" s="104" t="n"/>
    </row>
    <row r="178" hidden="1" outlineLevel="1" ht="24" customHeight="1" s="59">
      <c r="B178" s="73" t="n"/>
      <c r="C178" s="74" t="inlineStr">
        <is>
          <t>1:</t>
        </is>
      </c>
      <c r="D178" s="105" t="n"/>
      <c r="E178" s="106" t="n"/>
      <c r="F178" s="106" t="n"/>
      <c r="G178" s="75" t="inlineStr">
        <is>
          <t>Most recent:</t>
        </is>
      </c>
      <c r="H178" s="76" t="n"/>
      <c r="I178" s="76" t="n"/>
      <c r="J178" s="101" t="n"/>
      <c r="K178" s="77" t="inlineStr">
        <is>
          <t>1:</t>
        </is>
      </c>
      <c r="L178" s="105" t="n"/>
      <c r="M178" s="106" t="n"/>
      <c r="N178" s="114" t="n"/>
      <c r="O178" s="137" t="n"/>
    </row>
    <row r="179" hidden="1" outlineLevel="1" ht="24" customHeight="1" s="59">
      <c r="B179" s="78" t="n"/>
      <c r="C179" s="39" t="inlineStr">
        <is>
          <t>2:</t>
        </is>
      </c>
      <c r="D179" s="107" t="n"/>
      <c r="E179" s="108" t="n"/>
      <c r="F179" s="108" t="n"/>
      <c r="G179" s="98" t="inlineStr">
        <is>
          <t>Historic:</t>
        </is>
      </c>
      <c r="H179" s="179" t="n"/>
      <c r="I179" s="180" t="n"/>
      <c r="J179" s="181" t="n"/>
      <c r="K179" s="31" t="inlineStr">
        <is>
          <t>2:</t>
        </is>
      </c>
      <c r="L179" s="107" t="n"/>
      <c r="M179" s="108" t="n"/>
      <c r="N179" s="115" t="n"/>
      <c r="O179" s="182" t="n"/>
    </row>
    <row r="180" hidden="1" outlineLevel="1" ht="24" customHeight="1" s="59" thickBot="1">
      <c r="B180" s="79" t="n"/>
      <c r="C180" s="80" t="inlineStr">
        <is>
          <t>3:</t>
        </is>
      </c>
      <c r="D180" s="109" t="n"/>
      <c r="E180" s="110" t="n"/>
      <c r="F180" s="110" t="n"/>
      <c r="G180" s="81" t="n"/>
      <c r="H180" s="183" t="n"/>
      <c r="I180" s="183" t="n"/>
      <c r="J180" s="184" t="n"/>
      <c r="K180" s="82" t="inlineStr">
        <is>
          <t>3:</t>
        </is>
      </c>
      <c r="L180" s="109" t="n"/>
      <c r="M180" s="110" t="n"/>
      <c r="N180" s="116" t="n"/>
      <c r="O180" s="185" t="n"/>
    </row>
    <row r="181" hidden="1" outlineLevel="1" ht="9" customHeight="1" s="59" thickBot="1">
      <c r="D181" s="112" t="n"/>
      <c r="E181" s="112" t="n"/>
      <c r="F181" s="112" t="n"/>
      <c r="H181" s="100" t="n"/>
      <c r="I181" s="100" t="n"/>
      <c r="J181" s="100" t="n"/>
      <c r="L181" s="112" t="n"/>
      <c r="M181" s="112" t="n"/>
      <c r="N181" s="112" t="n"/>
      <c r="O181" s="104" t="n"/>
    </row>
    <row r="182" hidden="1" outlineLevel="1" ht="24" customHeight="1" s="59">
      <c r="B182" s="73" t="n"/>
      <c r="C182" s="74" t="inlineStr">
        <is>
          <t>1:</t>
        </is>
      </c>
      <c r="D182" s="105" t="n"/>
      <c r="E182" s="106" t="n"/>
      <c r="F182" s="106" t="n"/>
      <c r="G182" s="75" t="inlineStr">
        <is>
          <t>Most recent:</t>
        </is>
      </c>
      <c r="H182" s="76" t="n"/>
      <c r="I182" s="76" t="n"/>
      <c r="J182" s="101" t="n"/>
      <c r="K182" s="77" t="inlineStr">
        <is>
          <t>1:</t>
        </is>
      </c>
      <c r="L182" s="105" t="n"/>
      <c r="M182" s="106" t="n"/>
      <c r="N182" s="114" t="n"/>
      <c r="O182" s="137" t="n"/>
    </row>
    <row r="183" hidden="1" outlineLevel="1" ht="24" customHeight="1" s="59">
      <c r="B183" s="78" t="n"/>
      <c r="C183" s="39" t="inlineStr">
        <is>
          <t>2:</t>
        </is>
      </c>
      <c r="D183" s="107" t="n"/>
      <c r="E183" s="108" t="n"/>
      <c r="F183" s="108" t="n"/>
      <c r="G183" s="98" t="inlineStr">
        <is>
          <t>Historic:</t>
        </is>
      </c>
      <c r="H183" s="179" t="n"/>
      <c r="I183" s="180" t="n"/>
      <c r="J183" s="181" t="n"/>
      <c r="K183" s="31" t="inlineStr">
        <is>
          <t>2:</t>
        </is>
      </c>
      <c r="L183" s="107" t="n"/>
      <c r="M183" s="108" t="n"/>
      <c r="N183" s="115" t="n"/>
      <c r="O183" s="182" t="n"/>
    </row>
    <row r="184" hidden="1" outlineLevel="1" ht="24" customHeight="1" s="59" thickBot="1">
      <c r="B184" s="79" t="n"/>
      <c r="C184" s="80" t="inlineStr">
        <is>
          <t>3:</t>
        </is>
      </c>
      <c r="D184" s="109" t="n"/>
      <c r="E184" s="110" t="n"/>
      <c r="F184" s="110" t="n"/>
      <c r="G184" s="81" t="n"/>
      <c r="H184" s="183" t="n"/>
      <c r="I184" s="183" t="n"/>
      <c r="J184" s="184" t="n"/>
      <c r="K184" s="82" t="inlineStr">
        <is>
          <t>3:</t>
        </is>
      </c>
      <c r="L184" s="109" t="n"/>
      <c r="M184" s="110" t="n"/>
      <c r="N184" s="116" t="n"/>
      <c r="O184" s="185" t="n"/>
    </row>
    <row r="185" hidden="1" outlineLevel="1" ht="9" customHeight="1" s="59" thickBot="1">
      <c r="D185" s="112" t="n"/>
      <c r="E185" s="112" t="n"/>
      <c r="F185" s="112" t="n"/>
      <c r="H185" s="100" t="n"/>
      <c r="I185" s="100" t="n"/>
      <c r="J185" s="100" t="n"/>
      <c r="L185" s="112" t="n"/>
      <c r="M185" s="112" t="n"/>
      <c r="N185" s="112" t="n"/>
      <c r="O185" s="104" t="n"/>
    </row>
    <row r="186" hidden="1" outlineLevel="1" ht="24" customHeight="1" s="59">
      <c r="B186" s="73" t="n"/>
      <c r="C186" s="74" t="inlineStr">
        <is>
          <t>1:</t>
        </is>
      </c>
      <c r="D186" s="105" t="n"/>
      <c r="E186" s="106" t="n"/>
      <c r="F186" s="106" t="n"/>
      <c r="G186" s="75" t="inlineStr">
        <is>
          <t>Most recent:</t>
        </is>
      </c>
      <c r="H186" s="76" t="n"/>
      <c r="I186" s="76" t="n"/>
      <c r="J186" s="101" t="n"/>
      <c r="K186" s="77" t="inlineStr">
        <is>
          <t>1:</t>
        </is>
      </c>
      <c r="L186" s="105" t="n"/>
      <c r="M186" s="106" t="n"/>
      <c r="N186" s="114" t="n"/>
      <c r="O186" s="137" t="n"/>
    </row>
    <row r="187" hidden="1" outlineLevel="1" ht="24" customHeight="1" s="59">
      <c r="B187" s="78" t="n"/>
      <c r="C187" s="39" t="inlineStr">
        <is>
          <t>2:</t>
        </is>
      </c>
      <c r="D187" s="107" t="n"/>
      <c r="E187" s="108" t="n"/>
      <c r="F187" s="108" t="n"/>
      <c r="G187" s="98" t="inlineStr">
        <is>
          <t>Historic:</t>
        </is>
      </c>
      <c r="H187" s="179" t="n"/>
      <c r="I187" s="180" t="n"/>
      <c r="J187" s="181" t="n"/>
      <c r="K187" s="31" t="inlineStr">
        <is>
          <t>2:</t>
        </is>
      </c>
      <c r="L187" s="107" t="n"/>
      <c r="M187" s="108" t="n"/>
      <c r="N187" s="115" t="n"/>
      <c r="O187" s="182" t="n"/>
    </row>
    <row r="188" hidden="1" outlineLevel="1" ht="24" customHeight="1" s="59" thickBot="1">
      <c r="B188" s="79" t="n"/>
      <c r="C188" s="80" t="inlineStr">
        <is>
          <t>3:</t>
        </is>
      </c>
      <c r="D188" s="109" t="n"/>
      <c r="E188" s="110" t="n"/>
      <c r="F188" s="110" t="n"/>
      <c r="G188" s="81" t="n"/>
      <c r="H188" s="183" t="n"/>
      <c r="I188" s="183" t="n"/>
      <c r="J188" s="184" t="n"/>
      <c r="K188" s="82" t="inlineStr">
        <is>
          <t>3:</t>
        </is>
      </c>
      <c r="L188" s="109" t="n"/>
      <c r="M188" s="110" t="n"/>
      <c r="N188" s="116" t="n"/>
      <c r="O188" s="185" t="n"/>
    </row>
    <row r="189" hidden="1" outlineLevel="1" ht="9" customHeight="1" s="59" thickBot="1">
      <c r="D189" s="112" t="n"/>
      <c r="E189" s="112" t="n"/>
      <c r="F189" s="112" t="n"/>
      <c r="H189" s="100" t="n"/>
      <c r="I189" s="100" t="n"/>
      <c r="J189" s="100" t="n"/>
      <c r="L189" s="112" t="n"/>
      <c r="M189" s="112" t="n"/>
      <c r="N189" s="112" t="n"/>
      <c r="O189" s="104" t="n"/>
    </row>
    <row r="190" hidden="1" outlineLevel="1" ht="24" customHeight="1" s="59">
      <c r="B190" s="73" t="n"/>
      <c r="C190" s="74" t="inlineStr">
        <is>
          <t>1:</t>
        </is>
      </c>
      <c r="D190" s="105" t="n"/>
      <c r="E190" s="106" t="n"/>
      <c r="F190" s="106" t="n"/>
      <c r="G190" s="75" t="inlineStr">
        <is>
          <t>Most recent:</t>
        </is>
      </c>
      <c r="H190" s="76" t="n"/>
      <c r="I190" s="76" t="n"/>
      <c r="J190" s="101" t="n"/>
      <c r="K190" s="77" t="inlineStr">
        <is>
          <t>1:</t>
        </is>
      </c>
      <c r="L190" s="105" t="n"/>
      <c r="M190" s="106" t="n"/>
      <c r="N190" s="114" t="n"/>
      <c r="O190" s="137" t="n"/>
    </row>
    <row r="191" hidden="1" outlineLevel="1" ht="24" customHeight="1" s="59">
      <c r="B191" s="78" t="n"/>
      <c r="C191" s="39" t="inlineStr">
        <is>
          <t>2:</t>
        </is>
      </c>
      <c r="D191" s="107" t="n"/>
      <c r="E191" s="108" t="n"/>
      <c r="F191" s="108" t="n"/>
      <c r="G191" s="98" t="inlineStr">
        <is>
          <t>Historic:</t>
        </is>
      </c>
      <c r="H191" s="179" t="n"/>
      <c r="I191" s="180" t="n"/>
      <c r="J191" s="181" t="n"/>
      <c r="K191" s="31" t="inlineStr">
        <is>
          <t>2:</t>
        </is>
      </c>
      <c r="L191" s="107" t="n"/>
      <c r="M191" s="108" t="n"/>
      <c r="N191" s="115" t="n"/>
      <c r="O191" s="182" t="n"/>
    </row>
    <row r="192" hidden="1" outlineLevel="1" ht="24" customHeight="1" s="59" thickBot="1">
      <c r="B192" s="79" t="n"/>
      <c r="C192" s="80" t="inlineStr">
        <is>
          <t>3:</t>
        </is>
      </c>
      <c r="D192" s="109" t="n"/>
      <c r="E192" s="110" t="n"/>
      <c r="F192" s="110" t="n"/>
      <c r="G192" s="81" t="n"/>
      <c r="H192" s="183" t="n"/>
      <c r="I192" s="183" t="n"/>
      <c r="J192" s="184" t="n"/>
      <c r="K192" s="82" t="inlineStr">
        <is>
          <t>3:</t>
        </is>
      </c>
      <c r="L192" s="109" t="n"/>
      <c r="M192" s="110" t="n"/>
      <c r="N192" s="116" t="n"/>
      <c r="O192" s="185" t="n"/>
    </row>
    <row r="193" hidden="1" outlineLevel="1" ht="9" customHeight="1" s="59" thickBot="1">
      <c r="D193" s="112" t="n"/>
      <c r="E193" s="112" t="n"/>
      <c r="F193" s="112" t="n"/>
      <c r="H193" s="100" t="n"/>
      <c r="I193" s="100" t="n"/>
      <c r="J193" s="100" t="n"/>
      <c r="L193" s="112" t="n"/>
      <c r="M193" s="112" t="n"/>
      <c r="N193" s="112" t="n"/>
      <c r="O193" s="104" t="n"/>
    </row>
    <row r="194" hidden="1" outlineLevel="1" ht="24" customHeight="1" s="59">
      <c r="B194" s="73" t="n"/>
      <c r="C194" s="74" t="inlineStr">
        <is>
          <t>1:</t>
        </is>
      </c>
      <c r="D194" s="105" t="n"/>
      <c r="E194" s="106" t="n"/>
      <c r="F194" s="106" t="n"/>
      <c r="G194" s="75" t="inlineStr">
        <is>
          <t>Most recent:</t>
        </is>
      </c>
      <c r="H194" s="76" t="n"/>
      <c r="I194" s="76" t="n"/>
      <c r="J194" s="101" t="n"/>
      <c r="K194" s="77" t="inlineStr">
        <is>
          <t>1:</t>
        </is>
      </c>
      <c r="L194" s="105" t="n"/>
      <c r="M194" s="106" t="n"/>
      <c r="N194" s="114" t="n"/>
      <c r="O194" s="137" t="n"/>
    </row>
    <row r="195" hidden="1" outlineLevel="1" ht="24" customHeight="1" s="59">
      <c r="B195" s="78" t="n"/>
      <c r="C195" s="39" t="inlineStr">
        <is>
          <t>2:</t>
        </is>
      </c>
      <c r="D195" s="107" t="n"/>
      <c r="E195" s="108" t="n"/>
      <c r="F195" s="108" t="n"/>
      <c r="G195" s="98" t="inlineStr">
        <is>
          <t>Historic:</t>
        </is>
      </c>
      <c r="H195" s="179" t="n"/>
      <c r="I195" s="180" t="n"/>
      <c r="J195" s="181" t="n"/>
      <c r="K195" s="31" t="inlineStr">
        <is>
          <t>2:</t>
        </is>
      </c>
      <c r="L195" s="107" t="n"/>
      <c r="M195" s="108" t="n"/>
      <c r="N195" s="115" t="n"/>
      <c r="O195" s="182" t="n"/>
    </row>
    <row r="196" hidden="1" outlineLevel="1" ht="24" customHeight="1" s="59" thickBot="1">
      <c r="B196" s="79" t="n"/>
      <c r="C196" s="80" t="inlineStr">
        <is>
          <t>3:</t>
        </is>
      </c>
      <c r="D196" s="109" t="n"/>
      <c r="E196" s="110" t="n"/>
      <c r="F196" s="110" t="n"/>
      <c r="G196" s="81" t="n"/>
      <c r="H196" s="183" t="n"/>
      <c r="I196" s="183" t="n"/>
      <c r="J196" s="184" t="n"/>
      <c r="K196" s="82" t="inlineStr">
        <is>
          <t>3:</t>
        </is>
      </c>
      <c r="L196" s="109" t="n"/>
      <c r="M196" s="110" t="n"/>
      <c r="N196" s="116" t="n"/>
      <c r="O196" s="185" t="n"/>
    </row>
    <row r="197" hidden="1" outlineLevel="1" ht="9" customHeight="1" s="59" thickBot="1">
      <c r="D197" s="112" t="n"/>
      <c r="E197" s="112" t="n"/>
      <c r="F197" s="112" t="n"/>
      <c r="H197" s="100" t="n"/>
      <c r="I197" s="100" t="n"/>
      <c r="J197" s="100" t="n"/>
      <c r="L197" s="112" t="n"/>
      <c r="M197" s="112" t="n"/>
      <c r="N197" s="112" t="n"/>
      <c r="O197" s="104" t="n"/>
    </row>
    <row r="198" hidden="1" outlineLevel="1" ht="24" customHeight="1" s="59">
      <c r="B198" s="73" t="n"/>
      <c r="C198" s="74" t="inlineStr">
        <is>
          <t>1:</t>
        </is>
      </c>
      <c r="D198" s="105" t="n"/>
      <c r="E198" s="106" t="n"/>
      <c r="F198" s="106" t="n"/>
      <c r="G198" s="75" t="inlineStr">
        <is>
          <t>Most recent:</t>
        </is>
      </c>
      <c r="H198" s="76" t="n"/>
      <c r="I198" s="76" t="n"/>
      <c r="J198" s="101" t="n"/>
      <c r="K198" s="77" t="inlineStr">
        <is>
          <t>1:</t>
        </is>
      </c>
      <c r="L198" s="105" t="n"/>
      <c r="M198" s="106" t="n"/>
      <c r="N198" s="114" t="n"/>
      <c r="O198" s="137" t="n"/>
    </row>
    <row r="199" hidden="1" outlineLevel="1" ht="24" customHeight="1" s="59">
      <c r="B199" s="78" t="n"/>
      <c r="C199" s="39" t="inlineStr">
        <is>
          <t>2:</t>
        </is>
      </c>
      <c r="D199" s="107" t="n"/>
      <c r="E199" s="108" t="n"/>
      <c r="F199" s="108" t="n"/>
      <c r="G199" s="98" t="inlineStr">
        <is>
          <t>Historic:</t>
        </is>
      </c>
      <c r="H199" s="179" t="n"/>
      <c r="I199" s="180" t="n"/>
      <c r="J199" s="181" t="n"/>
      <c r="K199" s="31" t="inlineStr">
        <is>
          <t>2:</t>
        </is>
      </c>
      <c r="L199" s="107" t="n"/>
      <c r="M199" s="108" t="n"/>
      <c r="N199" s="115" t="n"/>
      <c r="O199" s="182" t="n"/>
    </row>
    <row r="200" hidden="1" outlineLevel="1" ht="24" customHeight="1" s="59" thickBot="1">
      <c r="B200" s="79" t="n"/>
      <c r="C200" s="80" t="inlineStr">
        <is>
          <t>3:</t>
        </is>
      </c>
      <c r="D200" s="109" t="n"/>
      <c r="E200" s="110" t="n"/>
      <c r="F200" s="110" t="n"/>
      <c r="G200" s="81" t="n"/>
      <c r="H200" s="183" t="n"/>
      <c r="I200" s="183" t="n"/>
      <c r="J200" s="184" t="n"/>
      <c r="K200" s="82" t="inlineStr">
        <is>
          <t>3:</t>
        </is>
      </c>
      <c r="L200" s="109" t="n"/>
      <c r="M200" s="110" t="n"/>
      <c r="N200" s="116" t="n"/>
      <c r="O200" s="185" t="n"/>
    </row>
    <row r="201" collapsed="1" s="59">
      <c r="D201" s="112" t="n"/>
      <c r="E201" s="112" t="n"/>
      <c r="F201" s="112" t="n"/>
      <c r="H201" s="100" t="n"/>
      <c r="I201" s="100" t="n"/>
      <c r="J201" s="100" t="n"/>
      <c r="L201" s="112" t="n"/>
      <c r="M201" s="112" t="n"/>
      <c r="N201" s="112" t="n"/>
      <c r="O201" s="104" t="n"/>
    </row>
    <row r="202" ht="9" customHeight="1" s="59">
      <c r="D202" s="112" t="n"/>
      <c r="E202" s="112" t="n"/>
      <c r="F202" s="112" t="n"/>
      <c r="H202" s="100" t="n"/>
      <c r="I202" s="100" t="n"/>
      <c r="J202" s="100" t="n"/>
      <c r="L202" s="112" t="n"/>
      <c r="M202" s="112" t="n"/>
      <c r="N202" s="112" t="n"/>
      <c r="O202" s="104" t="n"/>
    </row>
    <row r="203" hidden="1" outlineLevel="1" ht="24" customHeight="1" s="59">
      <c r="B203" s="73" t="n"/>
      <c r="C203" s="74" t="inlineStr">
        <is>
          <t>1:</t>
        </is>
      </c>
      <c r="D203" s="105" t="n"/>
      <c r="E203" s="106" t="n"/>
      <c r="F203" s="106" t="n"/>
      <c r="G203" s="75" t="inlineStr">
        <is>
          <t>Most recent:</t>
        </is>
      </c>
      <c r="H203" s="76" t="n"/>
      <c r="I203" s="76" t="n"/>
      <c r="J203" s="101" t="n"/>
      <c r="K203" s="77" t="inlineStr">
        <is>
          <t>1:</t>
        </is>
      </c>
      <c r="L203" s="105" t="n"/>
      <c r="M203" s="106" t="n"/>
      <c r="N203" s="114" t="n"/>
      <c r="O203" s="137" t="n"/>
    </row>
    <row r="204" hidden="1" outlineLevel="1" ht="24" customHeight="1" s="59">
      <c r="B204" s="78" t="n"/>
      <c r="C204" s="39" t="inlineStr">
        <is>
          <t>2:</t>
        </is>
      </c>
      <c r="D204" s="107" t="n"/>
      <c r="E204" s="108" t="n"/>
      <c r="F204" s="108" t="n"/>
      <c r="G204" s="98" t="inlineStr">
        <is>
          <t>Historic:</t>
        </is>
      </c>
      <c r="H204" s="179" t="n"/>
      <c r="I204" s="180" t="n"/>
      <c r="J204" s="181" t="n"/>
      <c r="K204" s="31" t="inlineStr">
        <is>
          <t>2:</t>
        </is>
      </c>
      <c r="L204" s="107" t="n"/>
      <c r="M204" s="108" t="n"/>
      <c r="N204" s="115" t="n"/>
      <c r="O204" s="182" t="n"/>
    </row>
    <row r="205" hidden="1" outlineLevel="1" ht="24" customHeight="1" s="59" thickBot="1">
      <c r="B205" s="79" t="inlineStr">
        <is>
          <t>[Enter Website]</t>
        </is>
      </c>
      <c r="C205" s="80" t="inlineStr">
        <is>
          <t>3:</t>
        </is>
      </c>
      <c r="D205" s="109" t="n"/>
      <c r="E205" s="110" t="n"/>
      <c r="F205" s="110" t="n"/>
      <c r="G205" s="81" t="n"/>
      <c r="H205" s="183" t="n"/>
      <c r="I205" s="183" t="n"/>
      <c r="J205" s="184" t="n"/>
      <c r="K205" s="82" t="inlineStr">
        <is>
          <t>3:</t>
        </is>
      </c>
      <c r="L205" s="109" t="n"/>
      <c r="M205" s="110" t="n"/>
      <c r="N205" s="116" t="n"/>
      <c r="O205" s="185" t="n"/>
    </row>
    <row r="206" hidden="1" outlineLevel="1" ht="9" customHeight="1" s="59" thickBot="1">
      <c r="D206" s="112" t="n"/>
      <c r="E206" s="112" t="n"/>
      <c r="F206" s="112" t="n"/>
      <c r="H206" s="100" t="n"/>
      <c r="I206" s="100" t="n"/>
      <c r="J206" s="100" t="n"/>
      <c r="L206" s="112" t="n"/>
      <c r="M206" s="112" t="n"/>
      <c r="N206" s="112" t="n"/>
      <c r="O206" s="104" t="n"/>
    </row>
    <row r="207" hidden="1" outlineLevel="1" ht="24" customHeight="1" s="59">
      <c r="B207" s="73" t="n"/>
      <c r="C207" s="74" t="inlineStr">
        <is>
          <t>1:</t>
        </is>
      </c>
      <c r="D207" s="105" t="n"/>
      <c r="E207" s="106" t="n"/>
      <c r="F207" s="106" t="n"/>
      <c r="G207" s="75" t="inlineStr">
        <is>
          <t>Most recent:</t>
        </is>
      </c>
      <c r="H207" s="76" t="n"/>
      <c r="I207" s="76" t="n"/>
      <c r="J207" s="101" t="n"/>
      <c r="K207" s="77" t="inlineStr">
        <is>
          <t>1:</t>
        </is>
      </c>
      <c r="L207" s="105" t="n"/>
      <c r="M207" s="106" t="n"/>
      <c r="N207" s="114" t="n"/>
      <c r="O207" s="137" t="n"/>
    </row>
    <row r="208" hidden="1" outlineLevel="1" ht="24" customHeight="1" s="59">
      <c r="B208" s="78" t="n"/>
      <c r="C208" s="39" t="inlineStr">
        <is>
          <t>2:</t>
        </is>
      </c>
      <c r="D208" s="107" t="n"/>
      <c r="E208" s="108" t="n"/>
      <c r="F208" s="108" t="n"/>
      <c r="G208" s="98" t="inlineStr">
        <is>
          <t>Historic:</t>
        </is>
      </c>
      <c r="H208" s="179" t="n"/>
      <c r="I208" s="180" t="n"/>
      <c r="J208" s="181" t="n"/>
      <c r="K208" s="31" t="inlineStr">
        <is>
          <t>2:</t>
        </is>
      </c>
      <c r="L208" s="107" t="n"/>
      <c r="M208" s="108" t="n"/>
      <c r="N208" s="115" t="n"/>
      <c r="O208" s="182" t="n"/>
    </row>
    <row r="209" hidden="1" outlineLevel="1" ht="24" customHeight="1" s="59" thickBot="1">
      <c r="B209" s="79" t="inlineStr">
        <is>
          <t>[Enter Website]</t>
        </is>
      </c>
      <c r="C209" s="80" t="inlineStr">
        <is>
          <t>3:</t>
        </is>
      </c>
      <c r="D209" s="109" t="n"/>
      <c r="E209" s="110" t="n"/>
      <c r="F209" s="110" t="n"/>
      <c r="G209" s="81" t="n"/>
      <c r="H209" s="183" t="n"/>
      <c r="I209" s="183" t="n"/>
      <c r="J209" s="184" t="n"/>
      <c r="K209" s="82" t="inlineStr">
        <is>
          <t>3:</t>
        </is>
      </c>
      <c r="L209" s="109" t="n"/>
      <c r="M209" s="110" t="n"/>
      <c r="N209" s="116" t="n"/>
      <c r="O209" s="185" t="n"/>
    </row>
    <row r="210" hidden="1" outlineLevel="1" ht="9" customHeight="1" s="59" thickBot="1">
      <c r="D210" s="112" t="n"/>
      <c r="E210" s="112" t="n"/>
      <c r="F210" s="112" t="n"/>
      <c r="H210" s="100" t="n"/>
      <c r="I210" s="100" t="n"/>
      <c r="J210" s="100" t="n"/>
      <c r="L210" s="112" t="n"/>
      <c r="M210" s="112" t="n"/>
      <c r="N210" s="112" t="n"/>
      <c r="O210" s="104" t="n"/>
    </row>
    <row r="211" hidden="1" outlineLevel="1" ht="24" customHeight="1" s="59">
      <c r="B211" s="73" t="n"/>
      <c r="C211" s="74" t="inlineStr">
        <is>
          <t>1:</t>
        </is>
      </c>
      <c r="D211" s="105" t="n"/>
      <c r="E211" s="106" t="n"/>
      <c r="F211" s="106" t="n"/>
      <c r="G211" s="75" t="inlineStr">
        <is>
          <t>Most recent:</t>
        </is>
      </c>
      <c r="H211" s="76" t="n"/>
      <c r="I211" s="76" t="n"/>
      <c r="J211" s="101" t="n"/>
      <c r="K211" s="77" t="inlineStr">
        <is>
          <t>1:</t>
        </is>
      </c>
      <c r="L211" s="105" t="n"/>
      <c r="M211" s="106" t="n"/>
      <c r="N211" s="114" t="n"/>
      <c r="O211" s="137" t="n"/>
    </row>
    <row r="212" hidden="1" outlineLevel="1" ht="24" customHeight="1" s="59">
      <c r="B212" s="78" t="n"/>
      <c r="C212" s="39" t="inlineStr">
        <is>
          <t>2:</t>
        </is>
      </c>
      <c r="D212" s="107" t="n"/>
      <c r="E212" s="108" t="n"/>
      <c r="F212" s="108" t="n"/>
      <c r="G212" s="98" t="inlineStr">
        <is>
          <t>Historic:</t>
        </is>
      </c>
      <c r="H212" s="179" t="n"/>
      <c r="I212" s="180" t="n"/>
      <c r="J212" s="181" t="n"/>
      <c r="K212" s="31" t="inlineStr">
        <is>
          <t>2:</t>
        </is>
      </c>
      <c r="L212" s="107" t="n"/>
      <c r="M212" s="108" t="n"/>
      <c r="N212" s="115" t="n"/>
      <c r="O212" s="182" t="n"/>
    </row>
    <row r="213" hidden="1" outlineLevel="1" ht="24" customHeight="1" s="59" thickBot="1">
      <c r="B213" s="79" t="inlineStr">
        <is>
          <t>[Enter Website]</t>
        </is>
      </c>
      <c r="C213" s="80" t="inlineStr">
        <is>
          <t>3:</t>
        </is>
      </c>
      <c r="D213" s="109" t="n"/>
      <c r="E213" s="110" t="n"/>
      <c r="F213" s="110" t="n"/>
      <c r="G213" s="81" t="n"/>
      <c r="H213" s="183" t="n"/>
      <c r="I213" s="183" t="n"/>
      <c r="J213" s="184" t="n"/>
      <c r="K213" s="82" t="inlineStr">
        <is>
          <t>3:</t>
        </is>
      </c>
      <c r="L213" s="109" t="n"/>
      <c r="M213" s="110" t="n"/>
      <c r="N213" s="116" t="n"/>
      <c r="O213" s="185" t="n"/>
    </row>
    <row r="214" hidden="1" outlineLevel="1" ht="9" customHeight="1" s="59" thickBot="1">
      <c r="D214" s="112" t="n"/>
      <c r="E214" s="112" t="n"/>
      <c r="F214" s="112" t="n"/>
      <c r="H214" s="100" t="n"/>
      <c r="I214" s="100" t="n"/>
      <c r="J214" s="100" t="n"/>
      <c r="L214" s="112" t="n"/>
      <c r="M214" s="112" t="n"/>
      <c r="N214" s="112" t="n"/>
      <c r="O214" s="104" t="n"/>
    </row>
    <row r="215" hidden="1" outlineLevel="1" ht="24" customHeight="1" s="59">
      <c r="B215" s="73" t="n"/>
      <c r="C215" s="74" t="inlineStr">
        <is>
          <t>1:</t>
        </is>
      </c>
      <c r="D215" s="105" t="n"/>
      <c r="E215" s="106" t="n"/>
      <c r="F215" s="106" t="n"/>
      <c r="G215" s="75" t="inlineStr">
        <is>
          <t>Most recent:</t>
        </is>
      </c>
      <c r="H215" s="76" t="n"/>
      <c r="I215" s="76" t="n"/>
      <c r="J215" s="101" t="n"/>
      <c r="K215" s="77" t="inlineStr">
        <is>
          <t>1:</t>
        </is>
      </c>
      <c r="L215" s="105" t="n"/>
      <c r="M215" s="106" t="n"/>
      <c r="N215" s="114" t="n"/>
      <c r="O215" s="137" t="n"/>
    </row>
    <row r="216" hidden="1" outlineLevel="1" ht="24" customHeight="1" s="59">
      <c r="B216" s="78" t="n"/>
      <c r="C216" s="39" t="inlineStr">
        <is>
          <t>2:</t>
        </is>
      </c>
      <c r="D216" s="107" t="n"/>
      <c r="E216" s="108" t="n"/>
      <c r="F216" s="108" t="n"/>
      <c r="G216" s="98" t="inlineStr">
        <is>
          <t>Historic:</t>
        </is>
      </c>
      <c r="H216" s="179" t="n"/>
      <c r="I216" s="180" t="n"/>
      <c r="J216" s="181" t="n"/>
      <c r="K216" s="31" t="inlineStr">
        <is>
          <t>2:</t>
        </is>
      </c>
      <c r="L216" s="107" t="n"/>
      <c r="M216" s="108" t="n"/>
      <c r="N216" s="115" t="n"/>
      <c r="O216" s="182" t="n"/>
    </row>
    <row r="217" hidden="1" outlineLevel="1" ht="24" customHeight="1" s="59" thickBot="1">
      <c r="B217" s="79" t="inlineStr">
        <is>
          <t>[Enter Website]</t>
        </is>
      </c>
      <c r="C217" s="80" t="inlineStr">
        <is>
          <t>3:</t>
        </is>
      </c>
      <c r="D217" s="109" t="n"/>
      <c r="E217" s="110" t="n"/>
      <c r="F217" s="110" t="n"/>
      <c r="G217" s="81" t="n"/>
      <c r="H217" s="183" t="n"/>
      <c r="I217" s="183" t="n"/>
      <c r="J217" s="184" t="n"/>
      <c r="K217" s="82" t="inlineStr">
        <is>
          <t>3:</t>
        </is>
      </c>
      <c r="L217" s="109" t="n"/>
      <c r="M217" s="110" t="n"/>
      <c r="N217" s="116" t="n"/>
      <c r="O217" s="185" t="n"/>
    </row>
    <row r="218" hidden="1" outlineLevel="1" ht="9" customHeight="1" s="59" thickBot="1">
      <c r="D218" s="112" t="n"/>
      <c r="E218" s="112" t="n"/>
      <c r="F218" s="112" t="n"/>
      <c r="H218" s="100" t="n"/>
      <c r="I218" s="100" t="n"/>
      <c r="J218" s="100" t="n"/>
      <c r="L218" s="112" t="n"/>
      <c r="M218" s="112" t="n"/>
      <c r="N218" s="112" t="n"/>
      <c r="O218" s="104" t="n"/>
    </row>
    <row r="219" hidden="1" outlineLevel="1" ht="24" customHeight="1" s="59">
      <c r="B219" s="73" t="n"/>
      <c r="C219" s="74" t="inlineStr">
        <is>
          <t>1:</t>
        </is>
      </c>
      <c r="D219" s="105" t="n"/>
      <c r="E219" s="106" t="n"/>
      <c r="F219" s="106" t="n"/>
      <c r="G219" s="75" t="inlineStr">
        <is>
          <t>Most recent:</t>
        </is>
      </c>
      <c r="H219" s="76" t="n"/>
      <c r="I219" s="76" t="n"/>
      <c r="J219" s="101" t="n"/>
      <c r="K219" s="77" t="inlineStr">
        <is>
          <t>1:</t>
        </is>
      </c>
      <c r="L219" s="105" t="n"/>
      <c r="M219" s="106" t="n"/>
      <c r="N219" s="114" t="n"/>
      <c r="O219" s="137" t="n"/>
    </row>
    <row r="220" hidden="1" outlineLevel="1" ht="24" customHeight="1" s="59">
      <c r="B220" s="78" t="n"/>
      <c r="C220" s="39" t="inlineStr">
        <is>
          <t>2:</t>
        </is>
      </c>
      <c r="D220" s="107" t="n"/>
      <c r="E220" s="108" t="n"/>
      <c r="F220" s="108" t="n"/>
      <c r="G220" s="98" t="inlineStr">
        <is>
          <t>Historic:</t>
        </is>
      </c>
      <c r="H220" s="179" t="n"/>
      <c r="I220" s="180" t="n"/>
      <c r="J220" s="181" t="n"/>
      <c r="K220" s="31" t="inlineStr">
        <is>
          <t>2:</t>
        </is>
      </c>
      <c r="L220" s="107" t="n"/>
      <c r="M220" s="108" t="n"/>
      <c r="N220" s="115" t="n"/>
      <c r="O220" s="182" t="n"/>
    </row>
    <row r="221" hidden="1" outlineLevel="1" ht="24" customHeight="1" s="59" thickBot="1">
      <c r="B221" s="79" t="inlineStr">
        <is>
          <t>[Enter Website]</t>
        </is>
      </c>
      <c r="C221" s="80" t="inlineStr">
        <is>
          <t>3:</t>
        </is>
      </c>
      <c r="D221" s="109" t="n"/>
      <c r="E221" s="110" t="n"/>
      <c r="F221" s="110" t="n"/>
      <c r="G221" s="81" t="n"/>
      <c r="H221" s="183" t="n"/>
      <c r="I221" s="183" t="n"/>
      <c r="J221" s="184" t="n"/>
      <c r="K221" s="82" t="inlineStr">
        <is>
          <t>3:</t>
        </is>
      </c>
      <c r="L221" s="109" t="n"/>
      <c r="M221" s="110" t="n"/>
      <c r="N221" s="116" t="n"/>
      <c r="O221" s="185" t="n"/>
    </row>
    <row r="222" hidden="1" outlineLevel="1" ht="9" customHeight="1" s="59" thickBot="1">
      <c r="D222" s="112" t="n"/>
      <c r="E222" s="112" t="n"/>
      <c r="F222" s="112" t="n"/>
      <c r="H222" s="100" t="n"/>
      <c r="I222" s="100" t="n"/>
      <c r="J222" s="100" t="n"/>
      <c r="L222" s="112" t="n"/>
      <c r="M222" s="112" t="n"/>
      <c r="N222" s="112" t="n"/>
      <c r="O222" s="104" t="n"/>
    </row>
    <row r="223" hidden="1" outlineLevel="1" ht="24" customHeight="1" s="59">
      <c r="B223" s="73" t="n"/>
      <c r="C223" s="74" t="inlineStr">
        <is>
          <t>1:</t>
        </is>
      </c>
      <c r="D223" s="105" t="n"/>
      <c r="E223" s="106" t="n"/>
      <c r="F223" s="106" t="n"/>
      <c r="G223" s="75" t="inlineStr">
        <is>
          <t>Most recent:</t>
        </is>
      </c>
      <c r="H223" s="76" t="n"/>
      <c r="I223" s="76" t="n"/>
      <c r="J223" s="101" t="n"/>
      <c r="K223" s="77" t="inlineStr">
        <is>
          <t>1:</t>
        </is>
      </c>
      <c r="L223" s="105" t="n"/>
      <c r="M223" s="106" t="n"/>
      <c r="N223" s="114" t="n"/>
      <c r="O223" s="137" t="n"/>
    </row>
    <row r="224" hidden="1" outlineLevel="1" ht="24" customHeight="1" s="59">
      <c r="B224" s="78" t="n"/>
      <c r="C224" s="39" t="inlineStr">
        <is>
          <t>2:</t>
        </is>
      </c>
      <c r="D224" s="107" t="n"/>
      <c r="E224" s="108" t="n"/>
      <c r="F224" s="108" t="n"/>
      <c r="G224" s="98" t="inlineStr">
        <is>
          <t>Historic:</t>
        </is>
      </c>
      <c r="H224" s="179" t="n"/>
      <c r="I224" s="180" t="n"/>
      <c r="J224" s="181" t="n"/>
      <c r="K224" s="31" t="inlineStr">
        <is>
          <t>2:</t>
        </is>
      </c>
      <c r="L224" s="107" t="n"/>
      <c r="M224" s="108" t="n"/>
      <c r="N224" s="115" t="n"/>
      <c r="O224" s="182" t="n"/>
    </row>
    <row r="225" hidden="1" outlineLevel="1" ht="24" customHeight="1" s="59" thickBot="1">
      <c r="B225" s="79" t="inlineStr">
        <is>
          <t>[Enter Website]</t>
        </is>
      </c>
      <c r="C225" s="80" t="inlineStr">
        <is>
          <t>3:</t>
        </is>
      </c>
      <c r="D225" s="109" t="n"/>
      <c r="E225" s="110" t="n"/>
      <c r="F225" s="110" t="n"/>
      <c r="G225" s="81" t="n"/>
      <c r="H225" s="183" t="n"/>
      <c r="I225" s="183" t="n"/>
      <c r="J225" s="184" t="n"/>
      <c r="K225" s="82" t="inlineStr">
        <is>
          <t>3:</t>
        </is>
      </c>
      <c r="L225" s="109" t="n"/>
      <c r="M225" s="110" t="n"/>
      <c r="N225" s="116" t="n"/>
      <c r="O225" s="185" t="n"/>
    </row>
    <row r="226" hidden="1" outlineLevel="1" ht="9" customHeight="1" s="59" thickBot="1">
      <c r="D226" s="112" t="n"/>
      <c r="E226" s="112" t="n"/>
      <c r="F226" s="112" t="n"/>
      <c r="H226" s="100" t="n"/>
      <c r="I226" s="100" t="n"/>
      <c r="J226" s="100" t="n"/>
      <c r="L226" s="112" t="n"/>
      <c r="M226" s="112" t="n"/>
      <c r="N226" s="112" t="n"/>
      <c r="O226" s="104" t="n"/>
    </row>
    <row r="227" hidden="1" outlineLevel="1" ht="24" customHeight="1" s="59">
      <c r="B227" s="73" t="n"/>
      <c r="C227" s="74" t="inlineStr">
        <is>
          <t>1:</t>
        </is>
      </c>
      <c r="D227" s="105" t="n"/>
      <c r="E227" s="106" t="n"/>
      <c r="F227" s="106" t="n"/>
      <c r="G227" s="75" t="inlineStr">
        <is>
          <t>Most recent:</t>
        </is>
      </c>
      <c r="H227" s="76" t="n"/>
      <c r="I227" s="76" t="n"/>
      <c r="J227" s="101" t="n"/>
      <c r="K227" s="77" t="inlineStr">
        <is>
          <t>1:</t>
        </is>
      </c>
      <c r="L227" s="105" t="n"/>
      <c r="M227" s="106" t="n"/>
      <c r="N227" s="114" t="n"/>
      <c r="O227" s="137" t="n"/>
    </row>
    <row r="228" hidden="1" outlineLevel="1" ht="24" customHeight="1" s="59">
      <c r="B228" s="78" t="n"/>
      <c r="C228" s="39" t="inlineStr">
        <is>
          <t>2:</t>
        </is>
      </c>
      <c r="D228" s="107" t="n"/>
      <c r="E228" s="108" t="n"/>
      <c r="F228" s="108" t="n"/>
      <c r="G228" s="98" t="inlineStr">
        <is>
          <t>Historic:</t>
        </is>
      </c>
      <c r="H228" s="179" t="n"/>
      <c r="I228" s="180" t="n"/>
      <c r="J228" s="181" t="n"/>
      <c r="K228" s="31" t="inlineStr">
        <is>
          <t>2:</t>
        </is>
      </c>
      <c r="L228" s="107" t="n"/>
      <c r="M228" s="108" t="n"/>
      <c r="N228" s="115" t="n"/>
      <c r="O228" s="182" t="n"/>
    </row>
    <row r="229" hidden="1" outlineLevel="1" ht="24" customHeight="1" s="59" thickBot="1">
      <c r="B229" s="79" t="inlineStr">
        <is>
          <t>[Enter Website]</t>
        </is>
      </c>
      <c r="C229" s="80" t="inlineStr">
        <is>
          <t>3:</t>
        </is>
      </c>
      <c r="D229" s="109" t="n"/>
      <c r="E229" s="110" t="n"/>
      <c r="F229" s="110" t="n"/>
      <c r="G229" s="81" t="n"/>
      <c r="H229" s="183" t="n"/>
      <c r="I229" s="183" t="n"/>
      <c r="J229" s="184" t="n"/>
      <c r="K229" s="82" t="inlineStr">
        <is>
          <t>3:</t>
        </is>
      </c>
      <c r="L229" s="109" t="n"/>
      <c r="M229" s="110" t="n"/>
      <c r="N229" s="116" t="n"/>
      <c r="O229" s="185" t="n"/>
    </row>
    <row r="230" hidden="1" outlineLevel="1" ht="9" customHeight="1" s="59" thickBot="1">
      <c r="D230" s="112" t="n"/>
      <c r="E230" s="112" t="n"/>
      <c r="F230" s="112" t="n"/>
      <c r="H230" s="100" t="n"/>
      <c r="I230" s="100" t="n"/>
      <c r="J230" s="100" t="n"/>
      <c r="L230" s="112" t="n"/>
      <c r="M230" s="112" t="n"/>
      <c r="N230" s="112" t="n"/>
      <c r="O230" s="104" t="n"/>
    </row>
    <row r="231" hidden="1" outlineLevel="1" ht="24" customHeight="1" s="59">
      <c r="B231" s="73" t="n"/>
      <c r="C231" s="74" t="inlineStr">
        <is>
          <t>1:</t>
        </is>
      </c>
      <c r="D231" s="105" t="n"/>
      <c r="E231" s="106" t="n"/>
      <c r="F231" s="106" t="n"/>
      <c r="G231" s="75" t="inlineStr">
        <is>
          <t>Most recent:</t>
        </is>
      </c>
      <c r="H231" s="76" t="n"/>
      <c r="I231" s="76" t="n"/>
      <c r="J231" s="101" t="n"/>
      <c r="K231" s="77" t="inlineStr">
        <is>
          <t>1:</t>
        </is>
      </c>
      <c r="L231" s="105" t="n"/>
      <c r="M231" s="106" t="n"/>
      <c r="N231" s="114" t="n"/>
      <c r="O231" s="137" t="n"/>
    </row>
    <row r="232" hidden="1" outlineLevel="1" ht="24" customHeight="1" s="59">
      <c r="B232" s="78" t="n"/>
      <c r="C232" s="39" t="inlineStr">
        <is>
          <t>2:</t>
        </is>
      </c>
      <c r="D232" s="107" t="n"/>
      <c r="E232" s="108" t="n"/>
      <c r="F232" s="108" t="n"/>
      <c r="G232" s="98" t="inlineStr">
        <is>
          <t>Historic:</t>
        </is>
      </c>
      <c r="H232" s="179" t="n"/>
      <c r="I232" s="180" t="n"/>
      <c r="J232" s="181" t="n"/>
      <c r="K232" s="31" t="inlineStr">
        <is>
          <t>2:</t>
        </is>
      </c>
      <c r="L232" s="107" t="n"/>
      <c r="M232" s="108" t="n"/>
      <c r="N232" s="115" t="n"/>
      <c r="O232" s="182" t="n"/>
    </row>
    <row r="233" hidden="1" outlineLevel="1" ht="24" customHeight="1" s="59" thickBot="1">
      <c r="B233" s="79" t="inlineStr">
        <is>
          <t>[Enter Website]</t>
        </is>
      </c>
      <c r="C233" s="80" t="inlineStr">
        <is>
          <t>3:</t>
        </is>
      </c>
      <c r="D233" s="109" t="n"/>
      <c r="E233" s="110" t="n"/>
      <c r="F233" s="110" t="n"/>
      <c r="G233" s="81" t="n"/>
      <c r="H233" s="183" t="n"/>
      <c r="I233" s="183" t="n"/>
      <c r="J233" s="184" t="n"/>
      <c r="K233" s="82" t="inlineStr">
        <is>
          <t>3:</t>
        </is>
      </c>
      <c r="L233" s="109" t="n"/>
      <c r="M233" s="110" t="n"/>
      <c r="N233" s="116" t="n"/>
      <c r="O233" s="185" t="n"/>
    </row>
    <row r="234" hidden="1" outlineLevel="1" ht="9" customHeight="1" s="59" thickBot="1">
      <c r="D234" s="112" t="n"/>
      <c r="E234" s="112" t="n"/>
      <c r="F234" s="112" t="n"/>
      <c r="H234" s="100" t="n"/>
      <c r="I234" s="100" t="n"/>
      <c r="J234" s="100" t="n"/>
      <c r="L234" s="112" t="n"/>
      <c r="M234" s="112" t="n"/>
      <c r="N234" s="112" t="n"/>
      <c r="O234" s="104" t="n"/>
    </row>
    <row r="235" hidden="1" outlineLevel="1" ht="24" customHeight="1" s="59">
      <c r="B235" s="73" t="n"/>
      <c r="C235" s="74" t="inlineStr">
        <is>
          <t>1:</t>
        </is>
      </c>
      <c r="D235" s="105" t="n"/>
      <c r="E235" s="106" t="n"/>
      <c r="F235" s="106" t="n"/>
      <c r="G235" s="75" t="inlineStr">
        <is>
          <t>Most recent:</t>
        </is>
      </c>
      <c r="H235" s="76" t="n"/>
      <c r="I235" s="76" t="n"/>
      <c r="J235" s="101" t="n"/>
      <c r="K235" s="77" t="inlineStr">
        <is>
          <t>1:</t>
        </is>
      </c>
      <c r="L235" s="105" t="n"/>
      <c r="M235" s="106" t="n"/>
      <c r="N235" s="114" t="n"/>
      <c r="O235" s="137" t="n"/>
    </row>
    <row r="236" hidden="1" outlineLevel="1" ht="24" customHeight="1" s="59">
      <c r="B236" s="78" t="n"/>
      <c r="C236" s="39" t="inlineStr">
        <is>
          <t>2:</t>
        </is>
      </c>
      <c r="D236" s="107" t="n"/>
      <c r="E236" s="108" t="n"/>
      <c r="F236" s="108" t="n"/>
      <c r="G236" s="98" t="inlineStr">
        <is>
          <t>Historic:</t>
        </is>
      </c>
      <c r="H236" s="179" t="n"/>
      <c r="I236" s="180" t="n"/>
      <c r="J236" s="181" t="n"/>
      <c r="K236" s="31" t="inlineStr">
        <is>
          <t>2:</t>
        </is>
      </c>
      <c r="L236" s="107" t="n"/>
      <c r="M236" s="108" t="n"/>
      <c r="N236" s="115" t="n"/>
      <c r="O236" s="182" t="n"/>
    </row>
    <row r="237" hidden="1" outlineLevel="1" ht="24" customHeight="1" s="59" thickBot="1">
      <c r="B237" s="79" t="inlineStr">
        <is>
          <t>[Enter Website]</t>
        </is>
      </c>
      <c r="C237" s="80" t="inlineStr">
        <is>
          <t>3:</t>
        </is>
      </c>
      <c r="D237" s="109" t="n"/>
      <c r="E237" s="110" t="n"/>
      <c r="F237" s="110" t="n"/>
      <c r="G237" s="81" t="n"/>
      <c r="H237" s="183" t="n"/>
      <c r="I237" s="183" t="n"/>
      <c r="J237" s="184" t="n"/>
      <c r="K237" s="82" t="inlineStr">
        <is>
          <t>3:</t>
        </is>
      </c>
      <c r="L237" s="109" t="n"/>
      <c r="M237" s="110" t="n"/>
      <c r="N237" s="116" t="n"/>
      <c r="O237" s="185" t="n"/>
    </row>
    <row r="238" hidden="1" outlineLevel="1" ht="9" customHeight="1" s="59" thickBot="1">
      <c r="D238" s="112" t="n"/>
      <c r="E238" s="112" t="n"/>
      <c r="F238" s="112" t="n"/>
      <c r="H238" s="100" t="n"/>
      <c r="I238" s="100" t="n"/>
      <c r="J238" s="100" t="n"/>
      <c r="L238" s="112" t="n"/>
      <c r="M238" s="112" t="n"/>
      <c r="N238" s="112" t="n"/>
      <c r="O238" s="104" t="n"/>
    </row>
    <row r="239" hidden="1" outlineLevel="1" ht="24" customHeight="1" s="59">
      <c r="B239" s="73" t="n"/>
      <c r="C239" s="74" t="inlineStr">
        <is>
          <t>1:</t>
        </is>
      </c>
      <c r="D239" s="105" t="n"/>
      <c r="E239" s="106" t="n"/>
      <c r="F239" s="106" t="n"/>
      <c r="G239" s="75" t="inlineStr">
        <is>
          <t>Most recent:</t>
        </is>
      </c>
      <c r="H239" s="76" t="n"/>
      <c r="I239" s="76" t="n"/>
      <c r="J239" s="101" t="n"/>
      <c r="K239" s="77" t="inlineStr">
        <is>
          <t>1:</t>
        </is>
      </c>
      <c r="L239" s="105" t="n"/>
      <c r="M239" s="106" t="n"/>
      <c r="N239" s="114" t="n"/>
      <c r="O239" s="137" t="n"/>
    </row>
    <row r="240" hidden="1" outlineLevel="1" ht="24" customHeight="1" s="59">
      <c r="B240" s="78" t="n"/>
      <c r="C240" s="39" t="inlineStr">
        <is>
          <t>2:</t>
        </is>
      </c>
      <c r="D240" s="107" t="n"/>
      <c r="E240" s="108" t="n"/>
      <c r="F240" s="108" t="n"/>
      <c r="G240" s="98" t="inlineStr">
        <is>
          <t>Historic:</t>
        </is>
      </c>
      <c r="H240" s="179" t="n"/>
      <c r="I240" s="180" t="n"/>
      <c r="J240" s="181" t="n"/>
      <c r="K240" s="31" t="inlineStr">
        <is>
          <t>2:</t>
        </is>
      </c>
      <c r="L240" s="107" t="n"/>
      <c r="M240" s="108" t="n"/>
      <c r="N240" s="115" t="n"/>
      <c r="O240" s="182" t="n"/>
    </row>
    <row r="241" hidden="1" outlineLevel="1" ht="24" customHeight="1" s="59" thickBot="1">
      <c r="B241" s="79" t="inlineStr">
        <is>
          <t>[Enter Website]</t>
        </is>
      </c>
      <c r="C241" s="80" t="inlineStr">
        <is>
          <t>3:</t>
        </is>
      </c>
      <c r="D241" s="109" t="n"/>
      <c r="E241" s="110" t="n"/>
      <c r="F241" s="110" t="n"/>
      <c r="G241" s="81" t="n"/>
      <c r="H241" s="183" t="n"/>
      <c r="I241" s="183" t="n"/>
      <c r="J241" s="184" t="n"/>
      <c r="K241" s="82" t="inlineStr">
        <is>
          <t>3:</t>
        </is>
      </c>
      <c r="L241" s="109" t="n"/>
      <c r="M241" s="110" t="n"/>
      <c r="N241" s="116" t="n"/>
      <c r="O241" s="185" t="n"/>
    </row>
    <row r="242" collapsed="1" s="59">
      <c r="D242" s="113" t="n"/>
      <c r="E242" s="113" t="n"/>
      <c r="F242" s="113" t="n"/>
    </row>
    <row r="243"/>
    <row r="244"/>
  </sheetData>
  <mergeCells count="122">
    <mergeCell ref="O80:O82"/>
    <mergeCell ref="O129:O131"/>
    <mergeCell ref="H204:J205"/>
    <mergeCell ref="G4:J4"/>
    <mergeCell ref="H154:J155"/>
    <mergeCell ref="O104:O106"/>
    <mergeCell ref="O51:O53"/>
    <mergeCell ref="H126:J127"/>
    <mergeCell ref="O178:O180"/>
    <mergeCell ref="O14:O16"/>
    <mergeCell ref="O219:O221"/>
    <mergeCell ref="O96:O98"/>
    <mergeCell ref="H35:J36"/>
    <mergeCell ref="H240:J241"/>
    <mergeCell ref="O170:O172"/>
    <mergeCell ref="H117:J118"/>
    <mergeCell ref="O211:O213"/>
    <mergeCell ref="H11:J12"/>
    <mergeCell ref="H191:J192"/>
    <mergeCell ref="H52:J53"/>
    <mergeCell ref="H232:J233"/>
    <mergeCell ref="O141:O143"/>
    <mergeCell ref="H81:J82"/>
    <mergeCell ref="H208:J209"/>
    <mergeCell ref="O125:O127"/>
    <mergeCell ref="H158:J159"/>
    <mergeCell ref="O174:O176"/>
    <mergeCell ref="H105:J106"/>
    <mergeCell ref="O55:O57"/>
    <mergeCell ref="O75:O77"/>
    <mergeCell ref="H15:J16"/>
    <mergeCell ref="O198:O200"/>
    <mergeCell ref="H195:J196"/>
    <mergeCell ref="H76:J77"/>
    <mergeCell ref="O59:O61"/>
    <mergeCell ref="C5:D5"/>
    <mergeCell ref="O182:O184"/>
    <mergeCell ref="O67:O69"/>
    <mergeCell ref="H23:J24"/>
    <mergeCell ref="H212:J213"/>
    <mergeCell ref="O153:O155"/>
    <mergeCell ref="H130:J131"/>
    <mergeCell ref="H68:J69"/>
    <mergeCell ref="H171:J172"/>
    <mergeCell ref="B3:B5"/>
    <mergeCell ref="O121:O123"/>
    <mergeCell ref="H236:J237"/>
    <mergeCell ref="H93:J94"/>
    <mergeCell ref="O145:O147"/>
    <mergeCell ref="H220:J221"/>
    <mergeCell ref="C4:F4"/>
    <mergeCell ref="H85:J86"/>
    <mergeCell ref="H163:J164"/>
    <mergeCell ref="O116:O118"/>
    <mergeCell ref="O88:O90"/>
    <mergeCell ref="O26:O28"/>
    <mergeCell ref="H72:J73"/>
    <mergeCell ref="O84:O86"/>
    <mergeCell ref="O231:O233"/>
    <mergeCell ref="H199:J200"/>
    <mergeCell ref="O63:O65"/>
    <mergeCell ref="H109:J110"/>
    <mergeCell ref="H183:J184"/>
    <mergeCell ref="O43:O45"/>
    <mergeCell ref="O223:O225"/>
    <mergeCell ref="K5:L5"/>
    <mergeCell ref="H48:J49"/>
    <mergeCell ref="H175:J176"/>
    <mergeCell ref="H122:J123"/>
    <mergeCell ref="H97:J98"/>
    <mergeCell ref="O149:O151"/>
    <mergeCell ref="H224:J225"/>
    <mergeCell ref="H146:J147"/>
    <mergeCell ref="O6:O8"/>
    <mergeCell ref="H56:J57"/>
    <mergeCell ref="O186:O188"/>
    <mergeCell ref="H31:J32"/>
    <mergeCell ref="H40:J41"/>
    <mergeCell ref="O92:O94"/>
    <mergeCell ref="H138:J139"/>
    <mergeCell ref="O30:O32"/>
    <mergeCell ref="O235:O237"/>
    <mergeCell ref="H60:J61"/>
    <mergeCell ref="O112:O114"/>
    <mergeCell ref="H187:J188"/>
    <mergeCell ref="H228:J229"/>
    <mergeCell ref="O162:O164"/>
    <mergeCell ref="H19:J20"/>
    <mergeCell ref="O227:O229"/>
    <mergeCell ref="O137:O139"/>
    <mergeCell ref="K4:O4"/>
    <mergeCell ref="H179:J180"/>
    <mergeCell ref="H101:J102"/>
    <mergeCell ref="H150:J151"/>
    <mergeCell ref="H216:J217"/>
    <mergeCell ref="O71:O73"/>
    <mergeCell ref="O194:O196"/>
    <mergeCell ref="H113:J114"/>
    <mergeCell ref="O203:O205"/>
    <mergeCell ref="H134:J135"/>
    <mergeCell ref="O190:O192"/>
    <mergeCell ref="O100:O102"/>
    <mergeCell ref="H44:J45"/>
    <mergeCell ref="H142:J143"/>
    <mergeCell ref="H89:J90"/>
    <mergeCell ref="O10:O12"/>
    <mergeCell ref="O18:O20"/>
    <mergeCell ref="H64:J65"/>
    <mergeCell ref="O34:O36"/>
    <mergeCell ref="H167:J168"/>
    <mergeCell ref="O157:O159"/>
    <mergeCell ref="O39:O41"/>
    <mergeCell ref="O239:O241"/>
    <mergeCell ref="O108:O110"/>
    <mergeCell ref="O166:O168"/>
    <mergeCell ref="O207:O209"/>
    <mergeCell ref="H7:J8"/>
    <mergeCell ref="O215:O217"/>
    <mergeCell ref="H27:J28"/>
    <mergeCell ref="O47:O49"/>
    <mergeCell ref="O133:O135"/>
    <mergeCell ref="O22:O24"/>
  </mergeCells>
  <dataValidations count="2">
    <dataValidation sqref="B7 B11 B15 B19 B23 B27 B31 B35 B40 B44 B48 B52 B56 B60 B64 B68 B72 B76 B81 B85 B89 B93 B97 B101 B105 B109 B113 B117 B122 B126 B130 B134 B138 B142 B146 B150 B154 B158 B163 B167 B171 B175 B179 B183 B187 B191 B195 B199 B204 B208 B212 B216 B220 B224 B228 B232 B236 B240" showDropDown="0" showInputMessage="1" showErrorMessage="1" allowBlank="1" type="list">
      <formula1>InvestorType</formula1>
    </dataValidation>
    <dataValidation sqref="B7 B11 B15 B19 B23 B27 B31 B35 B39 B43 B47 B51 B55 B59 B63" showDropDown="0" showInputMessage="0" showErrorMessage="0" allowBlank="1" type="list">
      <formula1>=Dropdowns!$D$2:$D$15</formula1>
    </dataValidation>
  </dataValidations>
  <pageMargins left="0.7" right="0.7" top="0.75" bottom="0.75" header="0.3" footer="0.3"/>
  <pageSetup orientation="landscape" scale="42" horizontalDpi="4294967292" verticalDpi="4294967292"/>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AR219"/>
  <sheetViews>
    <sheetView showGridLines="0" showRowColHeaders="0" zoomScaleNormal="100" workbookViewId="0">
      <pane xSplit="3" ySplit="9" topLeftCell="D10" activePane="bottomRight" state="frozen"/>
      <selection pane="topRight" activeCell="D1" sqref="D1"/>
      <selection pane="bottomLeft" activeCell="A11" sqref="A11"/>
      <selection pane="bottomRight" activeCell="G6" sqref="G6"/>
    </sheetView>
  </sheetViews>
  <sheetFormatPr baseColWidth="8" defaultColWidth="0" defaultRowHeight="13.8" outlineLevelRow="1"/>
  <cols>
    <col width="0.6640625" customWidth="1" style="4" min="1" max="1"/>
    <col width="16.109375" customWidth="1" style="40" min="2" max="2"/>
    <col width="18.33203125" customWidth="1" style="52" min="3" max="3"/>
    <col width="16.5546875" customWidth="1" style="40" min="4" max="4"/>
    <col width="16.109375" customWidth="1" style="40" min="5" max="5"/>
    <col width="16.6640625" customWidth="1" style="40" min="6" max="17"/>
    <col width="18.5546875" customWidth="1" style="40" min="18" max="18"/>
    <col width="17.5546875" customWidth="1" style="40" min="19" max="19"/>
    <col width="1.33203125" customWidth="1" style="40" min="20" max="20"/>
    <col width="14.33203125" customWidth="1" style="4" min="21" max="21"/>
    <col width="14.88671875" customWidth="1" style="4" min="22" max="22"/>
    <col width="15" customWidth="1" style="4" min="23" max="23"/>
    <col width="5.88671875" customWidth="1" style="4" min="24" max="24"/>
    <col hidden="1" width="3.109375" customWidth="1" style="61" min="25" max="30"/>
    <col hidden="1" width="3" customWidth="1" style="61" min="31" max="31"/>
    <col hidden="1" width="8.88671875" customWidth="1" style="61" min="32" max="32"/>
    <col hidden="1" width="3.109375" customWidth="1" style="61" min="33" max="43"/>
    <col hidden="1" width="3.109375" customWidth="1" style="61" min="44" max="44"/>
    <col hidden="1" width="3.109375" customWidth="1" style="4" min="45" max="52"/>
    <col hidden="1" width="8.88671875" customWidth="1" style="4" min="53" max="16384"/>
  </cols>
  <sheetData>
    <row r="1" ht="60" customHeight="1" s="59">
      <c r="A1" s="2" t="n"/>
      <c r="B1" s="162" t="inlineStr">
        <is>
          <t xml:space="preserve"> Triaging Investors</t>
        </is>
      </c>
      <c r="E1" s="5" t="n"/>
      <c r="F1" s="5" t="n"/>
      <c r="G1" s="5" t="n"/>
      <c r="H1" s="5" t="n"/>
      <c r="I1" s="5" t="n"/>
      <c r="J1" s="5" t="n"/>
      <c r="K1" s="5" t="n"/>
      <c r="L1" s="5" t="n"/>
      <c r="M1" s="5" t="n"/>
      <c r="N1" s="5" t="n"/>
      <c r="O1" s="5" t="n"/>
      <c r="P1" s="5" t="n"/>
      <c r="Q1" s="5" t="n"/>
      <c r="R1" s="5" t="n"/>
      <c r="S1" s="5" t="n"/>
      <c r="T1" s="5" t="n"/>
      <c r="U1" s="2" t="n"/>
      <c r="V1" s="2" t="n"/>
      <c r="W1" s="2" t="n"/>
      <c r="X1" s="2" t="n"/>
      <c r="Y1" s="89" t="n"/>
      <c r="Z1" s="89" t="n"/>
      <c r="AA1" s="89" t="n"/>
      <c r="AB1" s="89" t="n"/>
      <c r="AC1" s="89" t="n"/>
      <c r="AD1" s="89" t="n"/>
      <c r="AE1" s="89" t="n"/>
      <c r="AF1" s="89" t="n"/>
      <c r="AG1" s="89" t="n"/>
      <c r="AH1" s="89" t="n"/>
      <c r="AI1" s="89" t="n"/>
      <c r="AJ1" s="89" t="n"/>
      <c r="AK1" s="89" t="n"/>
      <c r="AL1" s="89" t="n"/>
      <c r="AM1" s="89" t="n"/>
      <c r="AN1" s="89" t="n"/>
      <c r="AO1" s="89" t="n"/>
      <c r="AP1" s="89" t="n"/>
      <c r="AQ1" s="89" t="n"/>
    </row>
    <row r="2" ht="3" customHeight="1" s="59">
      <c r="A2" s="3" t="n"/>
      <c r="B2" s="6" t="n"/>
      <c r="C2" s="44" t="n"/>
      <c r="D2" s="6" t="n"/>
      <c r="E2" s="6" t="n"/>
      <c r="F2" s="6" t="n"/>
      <c r="G2" s="6" t="n"/>
      <c r="H2" s="6" t="n"/>
      <c r="I2" s="6" t="n"/>
      <c r="J2" s="6" t="n"/>
      <c r="K2" s="6" t="n"/>
      <c r="L2" s="6" t="n"/>
      <c r="M2" s="6" t="n"/>
      <c r="N2" s="6" t="n"/>
      <c r="O2" s="6" t="n"/>
      <c r="P2" s="6" t="n"/>
      <c r="Q2" s="6" t="n"/>
      <c r="R2" s="6" t="n"/>
      <c r="S2" s="6" t="n"/>
      <c r="T2" s="6" t="n"/>
      <c r="U2" s="3" t="n"/>
      <c r="V2" s="3" t="n"/>
      <c r="W2" s="3" t="n"/>
      <c r="X2" s="3" t="n"/>
      <c r="Y2" s="89" t="n"/>
      <c r="Z2" s="89" t="n"/>
      <c r="AA2" s="89" t="n"/>
      <c r="AB2" s="89" t="n"/>
      <c r="AC2" s="89" t="n"/>
      <c r="AD2" s="89" t="n"/>
      <c r="AE2" s="89" t="n"/>
      <c r="AF2" s="89" t="n"/>
      <c r="AG2" s="89" t="n"/>
      <c r="AH2" s="89" t="n"/>
      <c r="AI2" s="89" t="n"/>
      <c r="AJ2" s="89" t="n"/>
      <c r="AK2" s="89" t="n"/>
      <c r="AL2" s="89" t="n"/>
      <c r="AM2" s="89" t="n"/>
      <c r="AN2" s="89" t="n"/>
      <c r="AO2" s="89" t="n"/>
      <c r="AP2" s="89" t="n"/>
      <c r="AQ2" s="89" t="n"/>
    </row>
    <row r="3" ht="14.25" customHeight="1" s="59">
      <c r="B3" s="163" t="inlineStr">
        <is>
          <t>From your research, note how potential investors match your knockout and fit criteria from Tab 1.  Check the results columns on the right to easily see which investors you most align with - these are your top investor targets.
Information on your venture:</t>
        </is>
      </c>
      <c r="D3" s="68" t="n"/>
      <c r="E3" s="68" t="n"/>
      <c r="Y3" s="89" t="n"/>
      <c r="Z3" s="89" t="n"/>
      <c r="AA3" s="89" t="n"/>
      <c r="AB3" s="89" t="n"/>
      <c r="AC3" s="89" t="n"/>
      <c r="AD3" s="89" t="n"/>
      <c r="AE3" s="89" t="n"/>
      <c r="AF3" s="89" t="n"/>
      <c r="AG3" s="89" t="n"/>
      <c r="AH3" s="89" t="n"/>
      <c r="AI3" s="89" t="n"/>
      <c r="AJ3" s="89" t="n"/>
      <c r="AK3" s="89" t="n"/>
      <c r="AL3" s="89" t="n"/>
      <c r="AM3" s="89" t="n"/>
      <c r="AN3" s="89" t="n"/>
      <c r="AO3" s="89" t="n"/>
      <c r="AP3" s="89" t="n"/>
      <c r="AQ3" s="89" t="n"/>
    </row>
    <row r="4" ht="18" customHeight="1" s="59" thickBot="1">
      <c r="A4" s="38" t="n"/>
      <c r="S4" s="40" t="n"/>
      <c r="Y4" s="92" t="n"/>
      <c r="Z4" s="92" t="n"/>
      <c r="AA4" s="92" t="n"/>
      <c r="AB4" s="92" t="n"/>
      <c r="AC4" s="92" t="n"/>
      <c r="AD4" s="92" t="n"/>
      <c r="AE4" s="92" t="n"/>
      <c r="AF4" s="92" t="n"/>
      <c r="AG4" s="92" t="n"/>
      <c r="AH4" s="92" t="n"/>
      <c r="AI4" s="92" t="n"/>
      <c r="AJ4" s="92" t="n"/>
      <c r="AK4" s="92" t="n"/>
      <c r="AL4" s="92" t="n"/>
      <c r="AM4" s="92" t="n"/>
      <c r="AN4" s="92" t="n"/>
      <c r="AO4" s="92" t="n"/>
      <c r="AP4" s="92" t="n"/>
      <c r="AQ4" s="92" t="n"/>
      <c r="AR4" s="62" t="n"/>
    </row>
    <row r="5" ht="16.5" customHeight="1" s="59" thickBot="1">
      <c r="A5" s="38" t="n"/>
      <c r="D5" s="134" t="inlineStr">
        <is>
          <t>KNOCKOUT CRITERIA - must be aligned on these</t>
        </is>
      </c>
      <c r="E5" s="164" t="n"/>
      <c r="F5" s="164" t="n"/>
      <c r="G5" s="164" t="n"/>
      <c r="H5" s="164" t="n"/>
      <c r="I5" s="165" t="n"/>
      <c r="J5" s="166" t="inlineStr">
        <is>
          <t xml:space="preserve"> FIT CRITERIA: Mission and Vision</t>
        </is>
      </c>
      <c r="K5" s="167" t="n"/>
      <c r="L5" s="166" t="inlineStr">
        <is>
          <t>FIT CRITERIA: Expected From Us</t>
        </is>
      </c>
      <c r="M5" s="164" t="n"/>
      <c r="N5" s="167" t="n"/>
      <c r="O5" s="166" t="inlineStr">
        <is>
          <t>FIT CRITERIA: Expected From Our Investors</t>
        </is>
      </c>
      <c r="P5" s="164" t="n"/>
      <c r="Q5" s="164" t="n"/>
      <c r="R5" s="164" t="n"/>
      <c r="S5" s="167" t="n"/>
      <c r="U5" s="161" t="inlineStr">
        <is>
          <t>RESULTS</t>
        </is>
      </c>
      <c r="Y5" s="89" t="n"/>
      <c r="Z5" s="89" t="n"/>
      <c r="AA5" s="89" t="n"/>
      <c r="AB5" s="89" t="n"/>
      <c r="AC5" s="89" t="n"/>
      <c r="AD5" s="89" t="n"/>
      <c r="AE5" s="89" t="n"/>
      <c r="AF5" s="89" t="n"/>
      <c r="AG5" s="89" t="n"/>
      <c r="AH5" s="89" t="n"/>
      <c r="AI5" s="89" t="n"/>
      <c r="AJ5" s="89" t="n"/>
      <c r="AK5" s="89" t="n"/>
      <c r="AL5" s="89" t="n"/>
      <c r="AM5" s="89" t="n"/>
      <c r="AN5" s="89" t="n"/>
      <c r="AO5" s="89" t="n"/>
      <c r="AP5" s="89" t="n"/>
      <c r="AQ5" s="89" t="n"/>
    </row>
    <row r="6" ht="30" customHeight="1" s="59">
      <c r="A6" s="38" t="n"/>
      <c r="D6" s="9" t="inlineStr">
        <is>
          <t>Investment Geography</t>
        </is>
      </c>
      <c r="E6" s="9" t="inlineStr">
        <is>
          <t>Legal Structure</t>
        </is>
      </c>
      <c r="F6" s="9" t="inlineStr">
        <is>
          <t>Investment Size</t>
        </is>
      </c>
      <c r="G6" s="9" t="inlineStr">
        <is>
          <t>Return Expectations</t>
        </is>
      </c>
      <c r="H6" s="9" t="inlineStr">
        <is>
          <t>Capital Type</t>
        </is>
      </c>
      <c r="I6" s="9" t="inlineStr">
        <is>
          <t>Stage of Growth</t>
        </is>
      </c>
      <c r="J6" s="18" t="inlineStr">
        <is>
          <t>Social Mission</t>
        </is>
      </c>
      <c r="K6" s="19" t="inlineStr">
        <is>
          <t>Company Vision</t>
        </is>
      </c>
      <c r="L6" s="19" t="inlineStr">
        <is>
          <t>Governance</t>
        </is>
      </c>
      <c r="M6" s="19" t="inlineStr">
        <is>
          <t>Restrictions</t>
        </is>
      </c>
      <c r="N6" s="19" t="inlineStr">
        <is>
          <t>Impact Evidence</t>
        </is>
      </c>
      <c r="O6" s="19" t="inlineStr">
        <is>
          <t>Connections</t>
        </is>
      </c>
      <c r="P6" s="19" t="inlineStr">
        <is>
          <t>Geography experience</t>
        </is>
      </c>
      <c r="Q6" s="19" t="inlineStr">
        <is>
          <t>Industry experience</t>
        </is>
      </c>
      <c r="R6" s="19" t="inlineStr">
        <is>
          <t>Business challenge experience</t>
        </is>
      </c>
      <c r="S6" s="19" t="inlineStr">
        <is>
          <t>Impact on future investments</t>
        </is>
      </c>
      <c r="Y6" s="89" t="n"/>
      <c r="Z6" s="89" t="n"/>
      <c r="AA6" s="89" t="n"/>
      <c r="AB6" s="89" t="n"/>
      <c r="AC6" s="89" t="n"/>
      <c r="AD6" s="89" t="n"/>
      <c r="AE6" s="89" t="n"/>
      <c r="AF6" s="89" t="n"/>
      <c r="AG6" s="89" t="n"/>
      <c r="AH6" s="89" t="n"/>
      <c r="AI6" s="89" t="n"/>
      <c r="AJ6" s="89" t="n"/>
      <c r="AK6" s="89" t="n"/>
      <c r="AL6" s="89" t="n"/>
      <c r="AM6" s="89" t="n"/>
      <c r="AN6" s="89" t="n"/>
      <c r="AO6" s="89" t="n"/>
      <c r="AP6" s="89" t="n"/>
      <c r="AQ6" s="89" t="n"/>
    </row>
    <row r="7" ht="48.75" customFormat="1" customHeight="1" s="12" thickBot="1">
      <c r="A7" s="38" t="n"/>
      <c r="B7" s="183" t="n"/>
      <c r="C7" s="183" t="n"/>
      <c r="D7" s="21" t="inlineStr">
        <is>
          <t>Invests in places we operate or our head-quartered</t>
        </is>
      </c>
      <c r="E7" s="21" t="inlineStr">
        <is>
          <t>Invests in our legal structure (i.e. for profit, nonprofit, hybrid)</t>
        </is>
      </c>
      <c r="F7" s="21" t="inlineStr">
        <is>
          <t>Generally invests the amount we are seeking</t>
        </is>
      </c>
      <c r="G7" s="21" t="inlineStr">
        <is>
          <t>Aligns on financial/ social return expectations (i.e., timeframe, exit)</t>
        </is>
      </c>
      <c r="H7" s="21" t="inlineStr">
        <is>
          <t>Offers type of capital (e.g. debt, equity, recoverable grant) we seek</t>
        </is>
      </c>
      <c r="I7" s="21" t="inlineStr">
        <is>
          <t>Invests in ventures at our stage of growth</t>
        </is>
      </c>
      <c r="J7" s="22" t="inlineStr">
        <is>
          <t>Understands and supports our social mission</t>
        </is>
      </c>
      <c r="K7" s="23" t="inlineStr">
        <is>
          <t>Understands and supports our vision</t>
        </is>
      </c>
      <c r="L7" s="23" t="inlineStr">
        <is>
          <t>Governance expectations (if any) match ours</t>
        </is>
      </c>
      <c r="M7" s="23" t="inlineStr">
        <is>
          <t>Any restrictions on use of funds (project, geography, etc.) work for us</t>
        </is>
      </c>
      <c r="N7" s="23" t="inlineStr">
        <is>
          <t>We can provide the level of impact evidence expected</t>
        </is>
      </c>
      <c r="O7" s="23" t="inlineStr">
        <is>
          <t>Able and willing to make useful connections for us</t>
        </is>
      </c>
      <c r="P7" s="23" t="inlineStr">
        <is>
          <t>Has experience in the locations we operate and want to enter</t>
        </is>
      </c>
      <c r="Q7" s="23" t="inlineStr">
        <is>
          <t>Has experience in our industry and/or market segment</t>
        </is>
      </c>
      <c r="R7" s="23" t="inlineStr">
        <is>
          <t>Has experience with the specific issues we are facing</t>
        </is>
      </c>
      <c r="S7" s="23" t="inlineStr">
        <is>
          <t>Any potential positive or negative impact on future capital raise works for us</t>
        </is>
      </c>
      <c r="T7" s="13" t="n"/>
      <c r="U7" s="33" t="inlineStr">
        <is>
          <t>Knockout Criteria</t>
        </is>
      </c>
      <c r="V7" s="33" t="inlineStr">
        <is>
          <t>High Priority 
Fit Criteria</t>
        </is>
      </c>
      <c r="W7" s="33" t="inlineStr">
        <is>
          <t>All 
Fit Criteria</t>
        </is>
      </c>
      <c r="Y7" s="121" t="n"/>
      <c r="Z7" s="121" t="n"/>
      <c r="AA7" s="121" t="n"/>
      <c r="AB7" s="121" t="n"/>
      <c r="AC7" s="121" t="n"/>
      <c r="AD7" s="121" t="n"/>
      <c r="AE7" s="121" t="n"/>
      <c r="AF7" s="121" t="n"/>
      <c r="AG7" s="121" t="inlineStr">
        <is>
          <t>High Priority total</t>
        </is>
      </c>
      <c r="AH7" s="121" t="n"/>
      <c r="AI7" s="121" t="n"/>
      <c r="AJ7" s="121" t="n"/>
      <c r="AK7" s="121" t="n"/>
      <c r="AL7" s="121" t="n"/>
      <c r="AM7" s="121" t="n"/>
      <c r="AN7" s="121" t="n"/>
      <c r="AO7" s="121" t="n"/>
      <c r="AP7" s="121" t="n"/>
      <c r="AQ7" s="121" t="n"/>
      <c r="AR7" s="63" t="n"/>
    </row>
    <row r="8" ht="50.25" customHeight="1" s="59">
      <c r="B8" s="131" t="inlineStr">
        <is>
          <t>Our needs</t>
        </is>
      </c>
      <c r="C8" s="45" t="inlineStr">
        <is>
          <t>Document
your
needs:</t>
        </is>
      </c>
      <c r="D8" s="86">
        <f>'Tab 1. Our Needs'!D8</f>
        <v/>
      </c>
      <c r="E8" s="86">
        <f>'Tab 1. Our Needs'!E8</f>
        <v/>
      </c>
      <c r="F8" s="86">
        <f>'Tab 1. Our Needs'!F8</f>
        <v/>
      </c>
      <c r="G8" s="86">
        <f>'Tab 1. Our Needs'!G8</f>
        <v/>
      </c>
      <c r="H8" s="86">
        <f>'Tab 1. Our Needs'!H8</f>
        <v/>
      </c>
      <c r="I8" s="86">
        <f>'Tab 1. Our Needs'!I8</f>
        <v/>
      </c>
      <c r="J8" s="86">
        <f>'Tab 1. Our Needs'!J8</f>
        <v/>
      </c>
      <c r="K8" s="86">
        <f>'Tab 1. Our Needs'!K8</f>
        <v/>
      </c>
      <c r="L8" s="86">
        <f>'Tab 1. Our Needs'!L8</f>
        <v/>
      </c>
      <c r="M8" s="86">
        <f>'Tab 1. Our Needs'!M8</f>
        <v/>
      </c>
      <c r="N8" s="86">
        <f>'Tab 1. Our Needs'!N8</f>
        <v/>
      </c>
      <c r="O8" s="86">
        <f>'Tab 1. Our Needs'!O8</f>
        <v/>
      </c>
      <c r="P8" s="86">
        <f>'Tab 1. Our Needs'!P8</f>
        <v/>
      </c>
      <c r="Q8" s="86">
        <f>'Tab 1. Our Needs'!Q8</f>
        <v/>
      </c>
      <c r="R8" s="86">
        <f>'Tab 1. Our Needs'!R8</f>
        <v/>
      </c>
      <c r="S8" s="86">
        <f>'Tab 1. Our Needs'!S8</f>
        <v/>
      </c>
      <c r="U8" s="160" t="inlineStr">
        <is>
          <t>For all 6 knockout criteria
are you somewhat or very aligned?</t>
        </is>
      </c>
      <c r="V8" s="160" t="inlineStr">
        <is>
          <t>For how many high priority
fit criteria 
are you
somewhat or very aligned?</t>
        </is>
      </c>
      <c r="W8" s="160" t="inlineStr">
        <is>
          <t>For how many overall
fit criteria
are you somewhat or very aligned?</t>
        </is>
      </c>
      <c r="Y8" s="122" t="n"/>
      <c r="Z8" s="122" t="n"/>
      <c r="AA8" s="122" t="n"/>
      <c r="AB8" s="122" t="n"/>
      <c r="AC8" s="122" t="n"/>
      <c r="AD8" s="122" t="n"/>
      <c r="AE8" s="122" t="n"/>
      <c r="AF8" s="122" t="n"/>
      <c r="AG8" s="122" t="inlineStr">
        <is>
          <t>J</t>
        </is>
      </c>
      <c r="AH8" s="122" t="inlineStr">
        <is>
          <t>K</t>
        </is>
      </c>
      <c r="AI8" s="122" t="inlineStr">
        <is>
          <t>L</t>
        </is>
      </c>
      <c r="AJ8" s="122" t="inlineStr">
        <is>
          <t>M</t>
        </is>
      </c>
      <c r="AK8" s="122" t="inlineStr">
        <is>
          <t>N</t>
        </is>
      </c>
      <c r="AL8" s="122" t="inlineStr">
        <is>
          <t>O</t>
        </is>
      </c>
      <c r="AM8" s="122" t="inlineStr">
        <is>
          <t>P</t>
        </is>
      </c>
      <c r="AN8" s="122" t="inlineStr">
        <is>
          <t>Q</t>
        </is>
      </c>
      <c r="AO8" s="122" t="inlineStr">
        <is>
          <t>R</t>
        </is>
      </c>
      <c r="AP8" s="122" t="inlineStr">
        <is>
          <t>S</t>
        </is>
      </c>
      <c r="AQ8" s="122" t="inlineStr">
        <is>
          <t>Total</t>
        </is>
      </c>
    </row>
    <row r="9" ht="26.25" customHeight="1" s="59" thickBot="1">
      <c r="B9" s="169" t="n"/>
      <c r="C9" s="46" t="inlineStr">
        <is>
          <t>Choose priority level (dropdown menu):</t>
        </is>
      </c>
      <c r="D9" s="133" t="inlineStr">
        <is>
          <t>High - MOST IMPORTANT to be aligned on these</t>
        </is>
      </c>
      <c r="E9" s="170" t="n"/>
      <c r="F9" s="170" t="n"/>
      <c r="G9" s="170" t="n"/>
      <c r="H9" s="170" t="n"/>
      <c r="I9" s="171" t="n"/>
      <c r="J9" s="29">
        <f>'Tab 1. Our Needs'!J9</f>
        <v/>
      </c>
      <c r="K9" s="29">
        <f>'Tab 1. Our Needs'!K9</f>
        <v/>
      </c>
      <c r="L9" s="29">
        <f>'Tab 1. Our Needs'!L9</f>
        <v/>
      </c>
      <c r="M9" s="29">
        <f>'Tab 1. Our Needs'!M9</f>
        <v/>
      </c>
      <c r="N9" s="29">
        <f>'Tab 1. Our Needs'!N9</f>
        <v/>
      </c>
      <c r="O9" s="29">
        <f>'Tab 1. Our Needs'!O9</f>
        <v/>
      </c>
      <c r="P9" s="29">
        <f>'Tab 1. Our Needs'!P9</f>
        <v/>
      </c>
      <c r="Q9" s="29">
        <f>'Tab 1. Our Needs'!Q9</f>
        <v/>
      </c>
      <c r="R9" s="29">
        <f>'Tab 1. Our Needs'!R9</f>
        <v/>
      </c>
      <c r="S9" s="29">
        <f>'Tab 1. Our Needs'!S9</f>
        <v/>
      </c>
      <c r="Y9" s="159" t="inlineStr">
        <is>
          <t>Knockout criteria results formula work</t>
        </is>
      </c>
      <c r="AF9" s="122" t="n"/>
      <c r="AG9" s="122">
        <f>IF(J9=Dropdowns!$A$1,1,0)</f>
        <v/>
      </c>
      <c r="AH9" s="122">
        <f>IF(K9=Dropdowns!$A$1,1,0)</f>
        <v/>
      </c>
      <c r="AI9" s="122">
        <f>IF(L9=Dropdowns!$A$1,1,0)</f>
        <v/>
      </c>
      <c r="AJ9" s="122">
        <f>IF(M9=Dropdowns!$A$1,1,0)</f>
        <v/>
      </c>
      <c r="AK9" s="122">
        <f>IF(N9=Dropdowns!$A$1,1,0)</f>
        <v/>
      </c>
      <c r="AL9" s="122">
        <f>IF(O9=Dropdowns!$A$1,1,0)</f>
        <v/>
      </c>
      <c r="AM9" s="122">
        <f>IF(P9=Dropdowns!$A$1,1,0)</f>
        <v/>
      </c>
      <c r="AN9" s="122">
        <f>IF(Q9=Dropdowns!$A$1,1,0)</f>
        <v/>
      </c>
      <c r="AO9" s="122">
        <f>IF(R9=Dropdowns!$A$1,1,0)</f>
        <v/>
      </c>
      <c r="AP9" s="122">
        <f>IF(S9=Dropdowns!$A$1,1,0)</f>
        <v/>
      </c>
      <c r="AQ9" s="120">
        <f>SUM(AG9:AP9)</f>
        <v/>
      </c>
    </row>
    <row r="10" ht="19.5" customHeight="1" s="59" thickBot="1">
      <c r="A10" s="4" t="n"/>
      <c r="B10" s="129" t="inlineStr">
        <is>
          <t>Information on potential investors:</t>
        </is>
      </c>
      <c r="D10" s="40" t="n"/>
      <c r="E10" s="40" t="n"/>
      <c r="F10" s="40" t="n"/>
      <c r="G10" s="40" t="n"/>
      <c r="H10" s="40" t="n"/>
      <c r="I10" s="40" t="n"/>
      <c r="J10" s="40" t="n"/>
      <c r="K10" s="40" t="n"/>
      <c r="L10" s="40" t="n"/>
      <c r="M10" s="40" t="n"/>
      <c r="N10" s="40" t="n"/>
      <c r="O10" s="40" t="n"/>
      <c r="P10" s="40" t="n"/>
      <c r="Q10" s="40" t="n"/>
      <c r="R10" s="40" t="n"/>
      <c r="S10" s="40" t="n"/>
      <c r="U10" s="11" t="n"/>
      <c r="V10" s="11" t="n"/>
      <c r="W10" s="11" t="n"/>
      <c r="Y10" s="122" t="inlineStr">
        <is>
          <t>D</t>
        </is>
      </c>
      <c r="Z10" s="122" t="inlineStr">
        <is>
          <t>E</t>
        </is>
      </c>
      <c r="AA10" s="122" t="inlineStr">
        <is>
          <t>F</t>
        </is>
      </c>
      <c r="AB10" s="122" t="inlineStr">
        <is>
          <t>G</t>
        </is>
      </c>
      <c r="AC10" s="122" t="inlineStr">
        <is>
          <t>H</t>
        </is>
      </c>
      <c r="AD10" s="122" t="inlineStr">
        <is>
          <t>I</t>
        </is>
      </c>
      <c r="AE10" s="122" t="inlineStr">
        <is>
          <t>Total</t>
        </is>
      </c>
      <c r="AF10" s="122" t="n"/>
      <c r="AG10" s="122" t="inlineStr">
        <is>
          <t>Very or somewhat aligned</t>
        </is>
      </c>
      <c r="AH10" s="122" t="n"/>
      <c r="AI10" s="122" t="n"/>
      <c r="AJ10" s="122" t="n"/>
      <c r="AK10" s="122" t="n"/>
      <c r="AL10" s="122" t="n"/>
      <c r="AM10" s="122" t="n"/>
      <c r="AN10" s="122" t="n"/>
      <c r="AO10" s="122" t="n"/>
      <c r="AP10" s="122" t="n"/>
      <c r="AQ10" s="122" t="n"/>
    </row>
    <row r="11" outlineLevel="1" ht="24.9" customHeight="1" s="59" thickBot="1" thickTop="1">
      <c r="A11" s="10" t="n"/>
      <c r="B11" s="186" t="inlineStr">
        <is>
          <t>QBE Foundation</t>
        </is>
      </c>
      <c r="C11" s="47" t="inlineStr">
        <is>
          <t>Rate alignment
(dropdown menu):</t>
        </is>
      </c>
      <c r="D11" s="24" t="inlineStr">
        <is>
          <t>Very Aligned</t>
        </is>
      </c>
      <c r="E11" s="24" t="inlineStr">
        <is>
          <t>Very Aligned</t>
        </is>
      </c>
      <c r="F11" s="24" t="inlineStr">
        <is>
          <t>Very Aligned</t>
        </is>
      </c>
      <c r="G11" s="24" t="inlineStr">
        <is>
          <t>Very Aligned</t>
        </is>
      </c>
      <c r="H11" s="24" t="inlineStr">
        <is>
          <t>Very Aligned</t>
        </is>
      </c>
      <c r="I11" s="24" t="inlineStr">
        <is>
          <t>Very Aligned</t>
        </is>
      </c>
      <c r="J11" s="24" t="inlineStr">
        <is>
          <t>Very Aligned</t>
        </is>
      </c>
      <c r="K11" s="24" t="inlineStr">
        <is>
          <t>Very Aligned</t>
        </is>
      </c>
      <c r="L11" s="24" t="inlineStr">
        <is>
          <t>Somewhat Aligned</t>
        </is>
      </c>
      <c r="M11" s="24" t="inlineStr">
        <is>
          <t>Somewhat Aligned</t>
        </is>
      </c>
      <c r="N11" s="24" t="inlineStr">
        <is>
          <t>Somewhat Aligned</t>
        </is>
      </c>
      <c r="O11" s="24" t="inlineStr">
        <is>
          <t>Very Aligned</t>
        </is>
      </c>
      <c r="P11" s="24" t="inlineStr">
        <is>
          <t>Somewhat Aligned</t>
        </is>
      </c>
      <c r="Q11" s="24" t="inlineStr">
        <is>
          <t>Somewhat Aligned</t>
        </is>
      </c>
      <c r="R11" s="24" t="inlineStr">
        <is>
          <t>Somewhat Aligned</t>
        </is>
      </c>
      <c r="S11" s="25" t="inlineStr">
        <is>
          <t>Very Aligned</t>
        </is>
      </c>
      <c r="U11" s="155">
        <f>IF(AE11=6,"Yes","No")</f>
        <v/>
      </c>
      <c r="V11" s="156">
        <f>CONCATENATE(AQ12,"/", AQ9)</f>
        <v/>
      </c>
      <c r="W11" s="156">
        <f>CONCATENATE(AQ11,"/", "10")</f>
        <v/>
      </c>
      <c r="Y11" s="122">
        <f>IF(OR(D11=Dropdowns!$B$1,D11=Dropdowns!$B$2),1,0)</f>
        <v/>
      </c>
      <c r="Z11" s="122">
        <f>IF(OR(E11=Dropdowns!$B$1,E11=Dropdowns!$B$2),1,0)</f>
        <v/>
      </c>
      <c r="AA11" s="122">
        <f>IF(OR(F11=Dropdowns!$B$1,F11=Dropdowns!$B$2),1,0)</f>
        <v/>
      </c>
      <c r="AB11" s="122">
        <f>IF(OR(G11=Dropdowns!$B$1,G11=Dropdowns!$B$2),1,0)</f>
        <v/>
      </c>
      <c r="AC11" s="122">
        <f>IF(OR(H11=Dropdowns!$B$1,H11=Dropdowns!$B$2),1,0)</f>
        <v/>
      </c>
      <c r="AD11" s="122">
        <f>IF(OR(I11=Dropdowns!$B$1,I11=Dropdowns!$B$2),1,0)</f>
        <v/>
      </c>
      <c r="AE11" s="122">
        <f>SUM(Y11:AD11)</f>
        <v/>
      </c>
      <c r="AF11" s="122" t="n"/>
      <c r="AG11" s="122">
        <f>IF(OR(J11=Dropdowns!$B$1,J11=Dropdowns!$B$2),1,0)</f>
        <v/>
      </c>
      <c r="AH11" s="122">
        <f>IF(OR(K11=Dropdowns!$B$1,K11=Dropdowns!$B$2),1,0)</f>
        <v/>
      </c>
      <c r="AI11" s="122">
        <f>IF(OR(L11=Dropdowns!$B$1,L11=Dropdowns!$B$2),1,0)</f>
        <v/>
      </c>
      <c r="AJ11" s="122">
        <f>IF(OR(M11=Dropdowns!$B$1,M11=Dropdowns!$B$2),1,0)</f>
        <v/>
      </c>
      <c r="AK11" s="122">
        <f>IF(OR(N11=Dropdowns!$B$1,N11=Dropdowns!$B$2),1,0)</f>
        <v/>
      </c>
      <c r="AL11" s="122">
        <f>IF(OR(O11=Dropdowns!$B$1,O11=Dropdowns!$B$2),1,0)</f>
        <v/>
      </c>
      <c r="AM11" s="122">
        <f>IF(OR(P11=Dropdowns!$B$1,P11=Dropdowns!$B$2),1,0)</f>
        <v/>
      </c>
      <c r="AN11" s="122">
        <f>IF(OR(Q11=Dropdowns!$B$1,Q11=Dropdowns!$B$2),1,0)</f>
        <v/>
      </c>
      <c r="AO11" s="122">
        <f>IF(OR(R11=Dropdowns!$B$1,R11=Dropdowns!$B$2),1,0)</f>
        <v/>
      </c>
      <c r="AP11" s="122">
        <f>IF(OR(S11=Dropdowns!$B$1,S11=Dropdowns!$B$2),1,0)</f>
        <v/>
      </c>
      <c r="AQ11" s="120">
        <f>SUM(AG11:AP11)</f>
        <v/>
      </c>
    </row>
    <row r="12" outlineLevel="1" ht="65.09999999999999" customHeight="1" s="59" thickBot="1" thickTop="1">
      <c r="A12" s="4" t="n"/>
      <c r="B12" s="187" t="n"/>
      <c r="C12" s="48" t="inlineStr">
        <is>
          <t>Make notes on investor alignment:</t>
        </is>
      </c>
      <c r="D12" s="26" t="inlineStr">
        <is>
          <t>Program anchor (host). Stage 1 committed; Stage 2 up to AU$400K match-contingent, Sept 2026. Minor gaps: our board formalisation; longitudinal impact metrics.</t>
        </is>
      </c>
      <c r="E12" s="26" t="n"/>
      <c r="F12" s="26" t="n"/>
      <c r="G12" s="26" t="n"/>
      <c r="H12" s="26" t="n"/>
      <c r="I12" s="26" t="n"/>
      <c r="J12" s="26" t="n"/>
      <c r="K12" s="26" t="n"/>
      <c r="L12" s="26" t="n"/>
      <c r="M12" s="26" t="n"/>
      <c r="N12" s="26" t="n"/>
      <c r="O12" s="26" t="n"/>
      <c r="P12" s="26" t="n"/>
      <c r="Q12" s="26" t="n"/>
      <c r="R12" s="26" t="n"/>
      <c r="S12" s="27" t="n"/>
      <c r="U12" s="188" t="n"/>
      <c r="V12" s="188" t="n"/>
      <c r="W12" s="188" t="n"/>
      <c r="Y12" s="122" t="n"/>
      <c r="Z12" s="122" t="n"/>
      <c r="AA12" s="122" t="n"/>
      <c r="AB12" s="122" t="n"/>
      <c r="AC12" s="122" t="n"/>
      <c r="AD12" s="122" t="n"/>
      <c r="AE12" s="122" t="n"/>
      <c r="AF12" s="122" t="n"/>
      <c r="AG12" s="122">
        <f>IF(AG$9=1,AG11,0)</f>
        <v/>
      </c>
      <c r="AH12" s="122">
        <f>IF(AH$9=1,AH11,0)</f>
        <v/>
      </c>
      <c r="AI12" s="122">
        <f>IF(AI$9=1,AI11,0)</f>
        <v/>
      </c>
      <c r="AJ12" s="122">
        <f>IF(AJ$9=1,AJ11,0)</f>
        <v/>
      </c>
      <c r="AK12" s="122">
        <f>IF(AK$9=1,AK11,0)</f>
        <v/>
      </c>
      <c r="AL12" s="122">
        <f>IF(AL$9=1,AL11,0)</f>
        <v/>
      </c>
      <c r="AM12" s="122">
        <f>IF(AM$9=1,AM11,0)</f>
        <v/>
      </c>
      <c r="AN12" s="122">
        <f>IF(AN$9=1,AN11,0)</f>
        <v/>
      </c>
      <c r="AO12" s="122">
        <f>IF(AO$9=1,AO11,0)</f>
        <v/>
      </c>
      <c r="AP12" s="122">
        <f>IF(AP$9=1,AP11,0)</f>
        <v/>
      </c>
      <c r="AQ12" s="120">
        <f>SUM(AG12:AP12)</f>
        <v/>
      </c>
    </row>
    <row r="13" outlineLevel="1" ht="6" customFormat="1" customHeight="1" s="17" thickBot="1">
      <c r="A13" s="17" t="n"/>
      <c r="B13" s="54" t="n"/>
      <c r="C13" s="49" t="n"/>
      <c r="D13" s="95" t="n"/>
      <c r="E13" s="95" t="n"/>
      <c r="F13" s="95" t="n"/>
      <c r="G13" s="95" t="n"/>
      <c r="H13" s="95" t="n"/>
      <c r="I13" s="95" t="n"/>
      <c r="J13" s="95" t="n"/>
      <c r="K13" s="95" t="n"/>
      <c r="L13" s="95" t="n"/>
      <c r="M13" s="95" t="n"/>
      <c r="N13" s="95" t="n"/>
      <c r="O13" s="95" t="n"/>
      <c r="P13" s="95" t="n"/>
      <c r="Q13" s="95" t="n"/>
      <c r="R13" s="95" t="n"/>
      <c r="S13" s="95" t="n"/>
      <c r="T13" s="16" t="n"/>
      <c r="U13" s="34" t="n"/>
      <c r="Y13" s="122" t="inlineStr">
        <is>
          <t>D</t>
        </is>
      </c>
      <c r="Z13" s="122" t="inlineStr">
        <is>
          <t>E</t>
        </is>
      </c>
      <c r="AA13" s="122" t="inlineStr">
        <is>
          <t>F</t>
        </is>
      </c>
      <c r="AB13" s="122" t="inlineStr">
        <is>
          <t>G</t>
        </is>
      </c>
      <c r="AC13" s="122" t="inlineStr">
        <is>
          <t>H</t>
        </is>
      </c>
      <c r="AD13" s="122" t="inlineStr">
        <is>
          <t>I</t>
        </is>
      </c>
      <c r="AE13" s="122" t="inlineStr">
        <is>
          <t>Total</t>
        </is>
      </c>
      <c r="AF13" s="122" t="n"/>
      <c r="AG13" s="122" t="inlineStr">
        <is>
          <t>Very or somewhat aligned</t>
        </is>
      </c>
      <c r="AH13" s="122" t="n"/>
      <c r="AI13" s="122" t="n"/>
      <c r="AJ13" s="122" t="n"/>
      <c r="AK13" s="122" t="n"/>
      <c r="AL13" s="122" t="n"/>
      <c r="AM13" s="122" t="n"/>
      <c r="AN13" s="122" t="n"/>
      <c r="AO13" s="122" t="n"/>
      <c r="AP13" s="122" t="n"/>
      <c r="AQ13" s="122" t="n"/>
      <c r="AR13" s="64" t="n"/>
    </row>
    <row r="14" outlineLevel="1" ht="24.9" customHeight="1" s="59" thickBot="1" thickTop="1">
      <c r="B14" s="186" t="inlineStr">
        <is>
          <t>Snow Foundation</t>
        </is>
      </c>
      <c r="C14" s="47" t="inlineStr">
        <is>
          <t>Rate alignment
(dropdown menu):</t>
        </is>
      </c>
      <c r="D14" s="24" t="inlineStr">
        <is>
          <t>Very Aligned</t>
        </is>
      </c>
      <c r="E14" s="24" t="inlineStr">
        <is>
          <t>Very Aligned</t>
        </is>
      </c>
      <c r="F14" s="24" t="inlineStr">
        <is>
          <t>Very Aligned</t>
        </is>
      </c>
      <c r="G14" s="24" t="inlineStr">
        <is>
          <t>Very Aligned</t>
        </is>
      </c>
      <c r="H14" s="24" t="inlineStr">
        <is>
          <t>Very Aligned</t>
        </is>
      </c>
      <c r="I14" s="24" t="inlineStr">
        <is>
          <t>Very Aligned</t>
        </is>
      </c>
      <c r="J14" s="24" t="inlineStr">
        <is>
          <t>Very Aligned</t>
        </is>
      </c>
      <c r="K14" s="24" t="inlineStr">
        <is>
          <t>Very Aligned</t>
        </is>
      </c>
      <c r="L14" s="24" t="inlineStr">
        <is>
          <t>Very Aligned</t>
        </is>
      </c>
      <c r="M14" s="24" t="inlineStr">
        <is>
          <t>Very Aligned</t>
        </is>
      </c>
      <c r="N14" s="24" t="inlineStr">
        <is>
          <t>Very Aligned</t>
        </is>
      </c>
      <c r="O14" s="24" t="inlineStr">
        <is>
          <t>Very Aligned</t>
        </is>
      </c>
      <c r="P14" s="24" t="inlineStr">
        <is>
          <t>Very Aligned</t>
        </is>
      </c>
      <c r="Q14" s="24" t="inlineStr">
        <is>
          <t>Very Aligned</t>
        </is>
      </c>
      <c r="R14" s="24" t="inlineStr">
        <is>
          <t>Very Aligned</t>
        </is>
      </c>
      <c r="S14" s="25" t="inlineStr">
        <is>
          <t>Very Aligned</t>
        </is>
      </c>
      <c r="U14" s="155">
        <f>IF(AE14=6,"Yes","No")</f>
        <v/>
      </c>
      <c r="V14" s="156">
        <f>CONCATENATE(AQ15,"/", AQ9)</f>
        <v/>
      </c>
      <c r="W14" s="156">
        <f>CONCATENATE(AQ14,"/", "10")</f>
        <v/>
      </c>
      <c r="Y14" s="122">
        <f>IF(OR(D14=Dropdowns!$B$1,D14=Dropdowns!$B$2),1,0)</f>
        <v/>
      </c>
      <c r="Z14" s="122">
        <f>IF(OR(E14=Dropdowns!$B$1,E14=Dropdowns!$B$2),1,0)</f>
        <v/>
      </c>
      <c r="AA14" s="122">
        <f>IF(OR(F14=Dropdowns!$B$1,F14=Dropdowns!$B$2),1,0)</f>
        <v/>
      </c>
      <c r="AB14" s="122">
        <f>IF(OR(G14=Dropdowns!$B$1,G14=Dropdowns!$B$2),1,0)</f>
        <v/>
      </c>
      <c r="AC14" s="122">
        <f>IF(OR(H14=Dropdowns!$B$1,H14=Dropdowns!$B$2),1,0)</f>
        <v/>
      </c>
      <c r="AD14" s="122">
        <f>IF(OR(I14=Dropdowns!$B$1,I14=Dropdowns!$B$2),1,0)</f>
        <v/>
      </c>
      <c r="AE14" s="122">
        <f>SUM(Y14:AD14)</f>
        <v/>
      </c>
      <c r="AF14" s="122" t="n"/>
      <c r="AG14" s="122">
        <f>IF(OR(J14=Dropdowns!$B$1,J14=Dropdowns!$B$2),1,0)</f>
        <v/>
      </c>
      <c r="AH14" s="122">
        <f>IF(OR(K14=Dropdowns!$B$1,K14=Dropdowns!$B$2),1,0)</f>
        <v/>
      </c>
      <c r="AI14" s="122">
        <f>IF(OR(L14=Dropdowns!$B$1,L14=Dropdowns!$B$2),1,0)</f>
        <v/>
      </c>
      <c r="AJ14" s="122">
        <f>IF(OR(M14=Dropdowns!$B$1,M14=Dropdowns!$B$2),1,0)</f>
        <v/>
      </c>
      <c r="AK14" s="122">
        <f>IF(OR(N14=Dropdowns!$B$1,N14=Dropdowns!$B$2),1,0)</f>
        <v/>
      </c>
      <c r="AL14" s="122">
        <f>IF(OR(O14=Dropdowns!$B$1,O14=Dropdowns!$B$2),1,0)</f>
        <v/>
      </c>
      <c r="AM14" s="122">
        <f>IF(OR(P14=Dropdowns!$B$1,P14=Dropdowns!$B$2),1,0)</f>
        <v/>
      </c>
      <c r="AN14" s="122">
        <f>IF(OR(Q14=Dropdowns!$B$1,Q14=Dropdowns!$B$2),1,0)</f>
        <v/>
      </c>
      <c r="AO14" s="122">
        <f>IF(OR(R14=Dropdowns!$B$1,R14=Dropdowns!$B$2),1,0)</f>
        <v/>
      </c>
      <c r="AP14" s="122">
        <f>IF(OR(S14=Dropdowns!$B$1,S14=Dropdowns!$B$2),1,0)</f>
        <v/>
      </c>
      <c r="AQ14" s="120">
        <f>SUM(AG14:AP14)</f>
        <v/>
      </c>
    </row>
    <row r="15" outlineLevel="1" ht="65.09999999999999" customHeight="1" s="59" thickBot="1" thickTop="1">
      <c r="B15" s="187" t="n"/>
      <c r="C15" s="48" t="inlineStr">
        <is>
          <t>Notes/comments on investor alignment:</t>
        </is>
      </c>
      <c r="D15" s="26" t="inlineStr">
        <is>
          <t>Anchor partner, ~AU$493K since 2023; Sally on advisory group; Jigsaw co-investor. Asked to be the FIRST match-eligible signature (note 08). Near-perfect on every dimension.</t>
        </is>
      </c>
      <c r="E15" s="26" t="n"/>
      <c r="F15" s="26" t="n"/>
      <c r="G15" s="26" t="n"/>
      <c r="H15" s="26" t="n"/>
      <c r="I15" s="26" t="n"/>
      <c r="J15" s="26" t="n"/>
      <c r="K15" s="26" t="n"/>
      <c r="L15" s="26" t="n"/>
      <c r="M15" s="26" t="n"/>
      <c r="N15" s="26" t="n"/>
      <c r="O15" s="26" t="n"/>
      <c r="P15" s="26" t="n"/>
      <c r="Q15" s="26" t="n"/>
      <c r="R15" s="26" t="n"/>
      <c r="S15" s="27" t="n"/>
      <c r="U15" s="188" t="n"/>
      <c r="V15" s="188" t="n"/>
      <c r="W15" s="188" t="n"/>
      <c r="Y15" s="122" t="n"/>
      <c r="Z15" s="122" t="n"/>
      <c r="AA15" s="122" t="n"/>
      <c r="AB15" s="122" t="n"/>
      <c r="AC15" s="122" t="n"/>
      <c r="AD15" s="122" t="n"/>
      <c r="AE15" s="122" t="n"/>
      <c r="AF15" s="122" t="n"/>
      <c r="AG15" s="122">
        <f>IF(AG$9=1,AG14,0)</f>
        <v/>
      </c>
      <c r="AH15" s="122">
        <f>IF(AH$9=1,AH14,0)</f>
        <v/>
      </c>
      <c r="AI15" s="122">
        <f>IF(AI$9=1,AI14,0)</f>
        <v/>
      </c>
      <c r="AJ15" s="122">
        <f>IF(AJ$9=1,AJ14,0)</f>
        <v/>
      </c>
      <c r="AK15" s="122">
        <f>IF(AK$9=1,AK14,0)</f>
        <v/>
      </c>
      <c r="AL15" s="122">
        <f>IF(AL$9=1,AL14,0)</f>
        <v/>
      </c>
      <c r="AM15" s="122">
        <f>IF(AM$9=1,AM14,0)</f>
        <v/>
      </c>
      <c r="AN15" s="122">
        <f>IF(AN$9=1,AN14,0)</f>
        <v/>
      </c>
      <c r="AO15" s="122">
        <f>IF(AO$9=1,AO14,0)</f>
        <v/>
      </c>
      <c r="AP15" s="122">
        <f>IF(AP$9=1,AP14,0)</f>
        <v/>
      </c>
      <c r="AQ15" s="120">
        <f>SUM(AG15:AP15)</f>
        <v/>
      </c>
    </row>
    <row r="16" outlineLevel="1" ht="6" customHeight="1" s="59" thickBot="1">
      <c r="A16" s="4" t="n"/>
      <c r="B16" s="55" t="n"/>
      <c r="C16" s="50" t="n"/>
      <c r="D16" s="96" t="n"/>
      <c r="E16" s="96" t="n"/>
      <c r="F16" s="96" t="n"/>
      <c r="G16" s="96" t="n"/>
      <c r="H16" s="96" t="n"/>
      <c r="I16" s="96" t="n"/>
      <c r="J16" s="96" t="n"/>
      <c r="K16" s="96" t="n"/>
      <c r="L16" s="96" t="n"/>
      <c r="M16" s="96" t="n"/>
      <c r="N16" s="96" t="n"/>
      <c r="O16" s="96" t="n"/>
      <c r="P16" s="96" t="n"/>
      <c r="Q16" s="96" t="n"/>
      <c r="R16" s="96" t="n"/>
      <c r="S16" s="96" t="n"/>
      <c r="U16" s="35" t="n"/>
      <c r="Y16" s="122" t="inlineStr">
        <is>
          <t>D</t>
        </is>
      </c>
      <c r="Z16" s="122" t="inlineStr">
        <is>
          <t>E</t>
        </is>
      </c>
      <c r="AA16" s="122" t="inlineStr">
        <is>
          <t>F</t>
        </is>
      </c>
      <c r="AB16" s="122" t="inlineStr">
        <is>
          <t>G</t>
        </is>
      </c>
      <c r="AC16" s="122" t="inlineStr">
        <is>
          <t>H</t>
        </is>
      </c>
      <c r="AD16" s="122" t="inlineStr">
        <is>
          <t>I</t>
        </is>
      </c>
      <c r="AE16" s="122" t="inlineStr">
        <is>
          <t>Total</t>
        </is>
      </c>
      <c r="AF16" s="122" t="n"/>
      <c r="AG16" s="122" t="inlineStr">
        <is>
          <t>Very or somewhat aligned</t>
        </is>
      </c>
      <c r="AH16" s="122" t="n"/>
      <c r="AI16" s="122" t="n"/>
      <c r="AJ16" s="122" t="n"/>
      <c r="AK16" s="122" t="n"/>
      <c r="AL16" s="122" t="n"/>
      <c r="AM16" s="122" t="n"/>
      <c r="AN16" s="122" t="n"/>
      <c r="AO16" s="122" t="n"/>
      <c r="AP16" s="122" t="n"/>
      <c r="AQ16" s="122" t="n"/>
    </row>
    <row r="17" outlineLevel="1" ht="24.9" customHeight="1" s="59" thickBot="1" thickTop="1">
      <c r="B17" s="186" t="inlineStr">
        <is>
          <t>SEFA (Social Enterprise Finance Australia)</t>
        </is>
      </c>
      <c r="C17" s="47" t="inlineStr">
        <is>
          <t>Rate alignment
(dropdown menu):</t>
        </is>
      </c>
      <c r="D17" s="24" t="inlineStr">
        <is>
          <t>Very Aligned</t>
        </is>
      </c>
      <c r="E17" s="24" t="inlineStr">
        <is>
          <t>Very Aligned</t>
        </is>
      </c>
      <c r="F17" s="24" t="inlineStr">
        <is>
          <t>Very Aligned</t>
        </is>
      </c>
      <c r="G17" s="24" t="inlineStr">
        <is>
          <t>Very Aligned</t>
        </is>
      </c>
      <c r="H17" s="24" t="inlineStr">
        <is>
          <t>Very Aligned</t>
        </is>
      </c>
      <c r="I17" s="24" t="inlineStr">
        <is>
          <t>Very Aligned</t>
        </is>
      </c>
      <c r="J17" s="24" t="inlineStr">
        <is>
          <t>Very Aligned</t>
        </is>
      </c>
      <c r="K17" s="24" t="inlineStr">
        <is>
          <t>Somewhat Aligned</t>
        </is>
      </c>
      <c r="L17" s="24" t="inlineStr">
        <is>
          <t>Very Aligned</t>
        </is>
      </c>
      <c r="M17" s="24" t="inlineStr">
        <is>
          <t>Very Aligned</t>
        </is>
      </c>
      <c r="N17" s="24" t="inlineStr">
        <is>
          <t>Somewhat Aligned</t>
        </is>
      </c>
      <c r="O17" s="24" t="inlineStr">
        <is>
          <t>Very Aligned</t>
        </is>
      </c>
      <c r="P17" s="24" t="inlineStr">
        <is>
          <t>Somewhat Aligned</t>
        </is>
      </c>
      <c r="Q17" s="24" t="inlineStr">
        <is>
          <t>Very Aligned</t>
        </is>
      </c>
      <c r="R17" s="24" t="inlineStr">
        <is>
          <t>Very Aligned</t>
        </is>
      </c>
      <c r="S17" s="25" t="inlineStr">
        <is>
          <t>Very Aligned</t>
        </is>
      </c>
      <c r="U17" s="155">
        <f>IF(AE17=6,"Yes","No")</f>
        <v/>
      </c>
      <c r="V17" s="156">
        <f>CONCATENATE(AQ18,"/", AQ9)</f>
        <v/>
      </c>
      <c r="W17" s="156">
        <f>CONCATENATE(AQ17,"/", "10")</f>
        <v/>
      </c>
      <c r="Y17" s="122">
        <f>IF(OR(D17=Dropdowns!$B$1,D17=Dropdowns!$B$2),1,0)</f>
        <v/>
      </c>
      <c r="Z17" s="122">
        <f>IF(OR(E17=Dropdowns!$B$1,E17=Dropdowns!$B$2),1,0)</f>
        <v/>
      </c>
      <c r="AA17" s="122">
        <f>IF(OR(F17=Dropdowns!$B$1,F17=Dropdowns!$B$2),1,0)</f>
        <v/>
      </c>
      <c r="AB17" s="122">
        <f>IF(OR(G17=Dropdowns!$B$1,G17=Dropdowns!$B$2),1,0)</f>
        <v/>
      </c>
      <c r="AC17" s="122">
        <f>IF(OR(H17=Dropdowns!$B$1,H17=Dropdowns!$B$2),1,0)</f>
        <v/>
      </c>
      <c r="AD17" s="122">
        <f>IF(OR(I17=Dropdowns!$B$1,I17=Dropdowns!$B$2),1,0)</f>
        <v/>
      </c>
      <c r="AE17" s="122">
        <f>SUM(Y17:AD17)</f>
        <v/>
      </c>
      <c r="AF17" s="122" t="n"/>
      <c r="AG17" s="122">
        <f>IF(OR(J17=Dropdowns!$B$1,J17=Dropdowns!$B$2),1,0)</f>
        <v/>
      </c>
      <c r="AH17" s="122">
        <f>IF(OR(K17=Dropdowns!$B$1,K17=Dropdowns!$B$2),1,0)</f>
        <v/>
      </c>
      <c r="AI17" s="122">
        <f>IF(OR(L17=Dropdowns!$B$1,L17=Dropdowns!$B$2),1,0)</f>
        <v/>
      </c>
      <c r="AJ17" s="122">
        <f>IF(OR(M17=Dropdowns!$B$1,M17=Dropdowns!$B$2),1,0)</f>
        <v/>
      </c>
      <c r="AK17" s="122">
        <f>IF(OR(N17=Dropdowns!$B$1,N17=Dropdowns!$B$2),1,0)</f>
        <v/>
      </c>
      <c r="AL17" s="122">
        <f>IF(OR(O17=Dropdowns!$B$1,O17=Dropdowns!$B$2),1,0)</f>
        <v/>
      </c>
      <c r="AM17" s="122">
        <f>IF(OR(P17=Dropdowns!$B$1,P17=Dropdowns!$B$2),1,0)</f>
        <v/>
      </c>
      <c r="AN17" s="122">
        <f>IF(OR(Q17=Dropdowns!$B$1,Q17=Dropdowns!$B$2),1,0)</f>
        <v/>
      </c>
      <c r="AO17" s="122">
        <f>IF(OR(R17=Dropdowns!$B$1,R17=Dropdowns!$B$2),1,0)</f>
        <v/>
      </c>
      <c r="AP17" s="122">
        <f>IF(OR(S17=Dropdowns!$B$1,S17=Dropdowns!$B$2),1,0)</f>
        <v/>
      </c>
      <c r="AQ17" s="120">
        <f>SUM(AG17:AP17)</f>
        <v/>
      </c>
    </row>
    <row r="18" outlineLevel="1" ht="65.09999999999999" customHeight="1" s="59" thickBot="1" thickTop="1">
      <c r="B18" s="187" t="n"/>
      <c r="C18" s="48" t="inlineStr">
        <is>
          <t>Notes/comments on investor alignment:</t>
        </is>
      </c>
      <c r="D18" s="26" t="inlineStr">
        <is>
          <t>Dedicated social-enterprise lender; ~AU$300K working-capital sub-debt; syndicate-agent option (Jigsaw). Gate: independent-majority fiduciary board (covenant) + completed model + serviceable covenant.</t>
        </is>
      </c>
      <c r="E18" s="26" t="n"/>
      <c r="F18" s="26" t="n"/>
      <c r="G18" s="26" t="n"/>
      <c r="H18" s="26" t="n"/>
      <c r="I18" s="26" t="n"/>
      <c r="J18" s="26" t="n"/>
      <c r="K18" s="26" t="n"/>
      <c r="L18" s="26" t="n"/>
      <c r="M18" s="26" t="n"/>
      <c r="N18" s="26" t="n"/>
      <c r="O18" s="26" t="n"/>
      <c r="P18" s="26" t="n"/>
      <c r="Q18" s="26" t="n"/>
      <c r="R18" s="26" t="n"/>
      <c r="S18" s="27" t="n"/>
      <c r="U18" s="188" t="n"/>
      <c r="V18" s="188" t="n"/>
      <c r="W18" s="188" t="n"/>
      <c r="Y18" s="122" t="n"/>
      <c r="Z18" s="122" t="n"/>
      <c r="AA18" s="122" t="n"/>
      <c r="AB18" s="122" t="n"/>
      <c r="AC18" s="122" t="n"/>
      <c r="AD18" s="122" t="n"/>
      <c r="AE18" s="122" t="n"/>
      <c r="AF18" s="122" t="n"/>
      <c r="AG18" s="122">
        <f>IF(AG$9=1,AG17,0)</f>
        <v/>
      </c>
      <c r="AH18" s="122">
        <f>IF(AH$9=1,AH17,0)</f>
        <v/>
      </c>
      <c r="AI18" s="122">
        <f>IF(AI$9=1,AI17,0)</f>
        <v/>
      </c>
      <c r="AJ18" s="122">
        <f>IF(AJ$9=1,AJ17,0)</f>
        <v/>
      </c>
      <c r="AK18" s="122">
        <f>IF(AK$9=1,AK17,0)</f>
        <v/>
      </c>
      <c r="AL18" s="122">
        <f>IF(AL$9=1,AL17,0)</f>
        <v/>
      </c>
      <c r="AM18" s="122">
        <f>IF(AM$9=1,AM17,0)</f>
        <v/>
      </c>
      <c r="AN18" s="122">
        <f>IF(AN$9=1,AN17,0)</f>
        <v/>
      </c>
      <c r="AO18" s="122">
        <f>IF(AO$9=1,AO17,0)</f>
        <v/>
      </c>
      <c r="AP18" s="122">
        <f>IF(AP$9=1,AP17,0)</f>
        <v/>
      </c>
      <c r="AQ18" s="120">
        <f>SUM(AG18:AP18)</f>
        <v/>
      </c>
    </row>
    <row r="19" outlineLevel="1" ht="6" customHeight="1" s="59" thickBot="1">
      <c r="A19" s="4" t="n"/>
      <c r="B19" s="55" t="n"/>
      <c r="C19" s="50" t="n"/>
      <c r="D19" s="95" t="n"/>
      <c r="E19" s="95" t="n"/>
      <c r="F19" s="95" t="n"/>
      <c r="G19" s="95" t="n"/>
      <c r="H19" s="95" t="n"/>
      <c r="I19" s="95" t="n"/>
      <c r="J19" s="95" t="n"/>
      <c r="K19" s="95" t="n"/>
      <c r="L19" s="95" t="n"/>
      <c r="M19" s="95" t="n"/>
      <c r="N19" s="95" t="n"/>
      <c r="O19" s="95" t="n"/>
      <c r="P19" s="95" t="n"/>
      <c r="Q19" s="95" t="n"/>
      <c r="R19" s="95" t="n"/>
      <c r="S19" s="95" t="n"/>
      <c r="U19" s="35" t="n"/>
      <c r="Y19" s="122" t="inlineStr">
        <is>
          <t>D</t>
        </is>
      </c>
      <c r="Z19" s="122" t="inlineStr">
        <is>
          <t>E</t>
        </is>
      </c>
      <c r="AA19" s="122" t="inlineStr">
        <is>
          <t>F</t>
        </is>
      </c>
      <c r="AB19" s="122" t="inlineStr">
        <is>
          <t>G</t>
        </is>
      </c>
      <c r="AC19" s="122" t="inlineStr">
        <is>
          <t>H</t>
        </is>
      </c>
      <c r="AD19" s="122" t="inlineStr">
        <is>
          <t>I</t>
        </is>
      </c>
      <c r="AE19" s="122" t="inlineStr">
        <is>
          <t>Total</t>
        </is>
      </c>
      <c r="AF19" s="122" t="n"/>
      <c r="AG19" s="122" t="inlineStr">
        <is>
          <t>Very or somewhat aligned</t>
        </is>
      </c>
      <c r="AH19" s="122" t="n"/>
      <c r="AI19" s="122" t="n"/>
      <c r="AJ19" s="122" t="n"/>
      <c r="AK19" s="122" t="n"/>
      <c r="AL19" s="122" t="n"/>
      <c r="AM19" s="122" t="n"/>
      <c r="AN19" s="122" t="n"/>
      <c r="AO19" s="122" t="n"/>
      <c r="AP19" s="122" t="n"/>
      <c r="AQ19" s="122" t="n"/>
    </row>
    <row r="20" outlineLevel="1" ht="24.9" customHeight="1" s="59" thickBot="1" thickTop="1">
      <c r="B20" s="186" t="inlineStr">
        <is>
          <t>IBA (Indigenous Business Australia)</t>
        </is>
      </c>
      <c r="C20" s="47" t="inlineStr">
        <is>
          <t>Rate alignment
(dropdown menu):</t>
        </is>
      </c>
      <c r="D20" s="24" t="inlineStr">
        <is>
          <t>Very Aligned</t>
        </is>
      </c>
      <c r="E20" s="24" t="inlineStr">
        <is>
          <t>Very Aligned</t>
        </is>
      </c>
      <c r="F20" s="24" t="inlineStr">
        <is>
          <t>Very Aligned</t>
        </is>
      </c>
      <c r="G20" s="24" t="inlineStr">
        <is>
          <t>Very Aligned</t>
        </is>
      </c>
      <c r="H20" s="24" t="inlineStr">
        <is>
          <t>Very Aligned</t>
        </is>
      </c>
      <c r="I20" s="24" t="inlineStr">
        <is>
          <t>Very Aligned</t>
        </is>
      </c>
      <c r="J20" s="24" t="inlineStr">
        <is>
          <t>Very Aligned</t>
        </is>
      </c>
      <c r="K20" s="24" t="inlineStr">
        <is>
          <t>Very Aligned</t>
        </is>
      </c>
      <c r="L20" s="24" t="inlineStr">
        <is>
          <t>Somewhat Aligned</t>
        </is>
      </c>
      <c r="M20" s="24" t="inlineStr">
        <is>
          <t>Somewhat Aligned</t>
        </is>
      </c>
      <c r="N20" s="24" t="inlineStr">
        <is>
          <t>Somewhat Aligned</t>
        </is>
      </c>
      <c r="O20" s="24" t="inlineStr">
        <is>
          <t>Very Aligned</t>
        </is>
      </c>
      <c r="P20" s="24" t="inlineStr">
        <is>
          <t>Very Aligned</t>
        </is>
      </c>
      <c r="Q20" s="24" t="inlineStr">
        <is>
          <t>Somewhat Aligned</t>
        </is>
      </c>
      <c r="R20" s="24" t="inlineStr">
        <is>
          <t>Somewhat Aligned</t>
        </is>
      </c>
      <c r="S20" s="25" t="inlineStr">
        <is>
          <t>Very Aligned</t>
        </is>
      </c>
      <c r="U20" s="155">
        <f>IF(AE20=6,"Yes","No")</f>
        <v/>
      </c>
      <c r="V20" s="156">
        <f>CONCATENATE(AQ21,"/", AQ9)</f>
        <v/>
      </c>
      <c r="W20" s="156">
        <f>CONCATENATE(AQ20,"/", "10")</f>
        <v/>
      </c>
      <c r="Y20" s="122">
        <f>IF(OR(D20=Dropdowns!$B$1,D20=Dropdowns!$B$2),1,0)</f>
        <v/>
      </c>
      <c r="Z20" s="122">
        <f>IF(OR(E20=Dropdowns!$B$1,E20=Dropdowns!$B$2),1,0)</f>
        <v/>
      </c>
      <c r="AA20" s="122">
        <f>IF(OR(F20=Dropdowns!$B$1,F20=Dropdowns!$B$2),1,0)</f>
        <v/>
      </c>
      <c r="AB20" s="122">
        <f>IF(OR(G20=Dropdowns!$B$1,G20=Dropdowns!$B$2),1,0)</f>
        <v/>
      </c>
      <c r="AC20" s="122">
        <f>IF(OR(H20=Dropdowns!$B$1,H20=Dropdowns!$B$2),1,0)</f>
        <v/>
      </c>
      <c r="AD20" s="122">
        <f>IF(OR(I20=Dropdowns!$B$1,I20=Dropdowns!$B$2),1,0)</f>
        <v/>
      </c>
      <c r="AE20" s="122">
        <f>SUM(Y20:AD20)</f>
        <v/>
      </c>
      <c r="AF20" s="122" t="n"/>
      <c r="AG20" s="122">
        <f>IF(OR(J20=Dropdowns!$B$1,J20=Dropdowns!$B$2),1,0)</f>
        <v/>
      </c>
      <c r="AH20" s="122">
        <f>IF(OR(K20=Dropdowns!$B$1,K20=Dropdowns!$B$2),1,0)</f>
        <v/>
      </c>
      <c r="AI20" s="122">
        <f>IF(OR(L20=Dropdowns!$B$1,L20=Dropdowns!$B$2),1,0)</f>
        <v/>
      </c>
      <c r="AJ20" s="122">
        <f>IF(OR(M20=Dropdowns!$B$1,M20=Dropdowns!$B$2),1,0)</f>
        <v/>
      </c>
      <c r="AK20" s="122">
        <f>IF(OR(N20=Dropdowns!$B$1,N20=Dropdowns!$B$2),1,0)</f>
        <v/>
      </c>
      <c r="AL20" s="122">
        <f>IF(OR(O20=Dropdowns!$B$1,O20=Dropdowns!$B$2),1,0)</f>
        <v/>
      </c>
      <c r="AM20" s="122">
        <f>IF(OR(P20=Dropdowns!$B$1,P20=Dropdowns!$B$2),1,0)</f>
        <v/>
      </c>
      <c r="AN20" s="122">
        <f>IF(OR(Q20=Dropdowns!$B$1,Q20=Dropdowns!$B$2),1,0)</f>
        <v/>
      </c>
      <c r="AO20" s="122">
        <f>IF(OR(R20=Dropdowns!$B$1,R20=Dropdowns!$B$2),1,0)</f>
        <v/>
      </c>
      <c r="AP20" s="122">
        <f>IF(OR(S20=Dropdowns!$B$1,S20=Dropdowns!$B$2),1,0)</f>
        <v/>
      </c>
      <c r="AQ20" s="120">
        <f>SUM(AG20:AP20)</f>
        <v/>
      </c>
    </row>
    <row r="21" outlineLevel="1" ht="65.09999999999999" customHeight="1" s="59" thickBot="1" thickTop="1">
      <c r="B21" s="187" t="n"/>
      <c r="C21" s="48" t="inlineStr">
        <is>
          <t>Notes/comments on investor alignment:</t>
        </is>
      </c>
      <c r="D21" s="26" t="inlineStr">
        <is>
          <t>Govt Indigenous business finance; eligibility confirmed; up to AU$5M (30% grant / 70% debt). Later senior anchor, NOT first tranche. Govt capital always has use restrictions. Gated on business plan + entity/Indigenous-ownership decision.</t>
        </is>
      </c>
      <c r="E21" s="26" t="n"/>
      <c r="F21" s="26" t="n"/>
      <c r="G21" s="26" t="n"/>
      <c r="H21" s="26" t="n"/>
      <c r="I21" s="26" t="n"/>
      <c r="J21" s="26" t="n"/>
      <c r="K21" s="26" t="n"/>
      <c r="L21" s="26" t="n"/>
      <c r="M21" s="26" t="n"/>
      <c r="N21" s="26" t="n"/>
      <c r="O21" s="26" t="n"/>
      <c r="P21" s="26" t="n"/>
      <c r="Q21" s="26" t="n"/>
      <c r="R21" s="26" t="n"/>
      <c r="S21" s="27" t="n"/>
      <c r="U21" s="188" t="n"/>
      <c r="V21" s="188" t="n"/>
      <c r="W21" s="188" t="n"/>
      <c r="Y21" s="122" t="n"/>
      <c r="Z21" s="122" t="n"/>
      <c r="AA21" s="122" t="n"/>
      <c r="AB21" s="122" t="n"/>
      <c r="AC21" s="122" t="n"/>
      <c r="AD21" s="122" t="n"/>
      <c r="AE21" s="122" t="n"/>
      <c r="AF21" s="122" t="n"/>
      <c r="AG21" s="122">
        <f>IF(AG$9=1,AG20,0)</f>
        <v/>
      </c>
      <c r="AH21" s="122">
        <f>IF(AH$9=1,AH20,0)</f>
        <v/>
      </c>
      <c r="AI21" s="122">
        <f>IF(AI$9=1,AI20,0)</f>
        <v/>
      </c>
      <c r="AJ21" s="122">
        <f>IF(AJ$9=1,AJ20,0)</f>
        <v/>
      </c>
      <c r="AK21" s="122">
        <f>IF(AK$9=1,AK20,0)</f>
        <v/>
      </c>
      <c r="AL21" s="122">
        <f>IF(AL$9=1,AL20,0)</f>
        <v/>
      </c>
      <c r="AM21" s="122">
        <f>IF(AM$9=1,AM20,0)</f>
        <v/>
      </c>
      <c r="AN21" s="122">
        <f>IF(AN$9=1,AN20,0)</f>
        <v/>
      </c>
      <c r="AO21" s="122">
        <f>IF(AO$9=1,AO20,0)</f>
        <v/>
      </c>
      <c r="AP21" s="122">
        <f>IF(AP$9=1,AP20,0)</f>
        <v/>
      </c>
      <c r="AQ21" s="120">
        <f>SUM(AG21:AP21)</f>
        <v/>
      </c>
    </row>
    <row r="22" outlineLevel="1" ht="6" customHeight="1" s="59" thickBot="1">
      <c r="A22" s="4" t="n"/>
      <c r="B22" s="55" t="n"/>
      <c r="C22" s="50" t="n"/>
      <c r="D22" s="95" t="n"/>
      <c r="E22" s="95" t="n"/>
      <c r="F22" s="95" t="n"/>
      <c r="G22" s="95" t="n"/>
      <c r="H22" s="95" t="n"/>
      <c r="I22" s="95" t="n"/>
      <c r="J22" s="95" t="n"/>
      <c r="K22" s="95" t="n"/>
      <c r="L22" s="95" t="n"/>
      <c r="M22" s="95" t="n"/>
      <c r="N22" s="95" t="n"/>
      <c r="O22" s="95" t="n"/>
      <c r="P22" s="95" t="n"/>
      <c r="Q22" s="95" t="n"/>
      <c r="R22" s="95" t="n"/>
      <c r="S22" s="95" t="n"/>
      <c r="U22" s="35" t="n"/>
      <c r="Y22" s="122" t="inlineStr">
        <is>
          <t>D</t>
        </is>
      </c>
      <c r="Z22" s="122" t="inlineStr">
        <is>
          <t>E</t>
        </is>
      </c>
      <c r="AA22" s="122" t="inlineStr">
        <is>
          <t>F</t>
        </is>
      </c>
      <c r="AB22" s="122" t="inlineStr">
        <is>
          <t>G</t>
        </is>
      </c>
      <c r="AC22" s="122" t="inlineStr">
        <is>
          <t>H</t>
        </is>
      </c>
      <c r="AD22" s="122" t="inlineStr">
        <is>
          <t>I</t>
        </is>
      </c>
      <c r="AE22" s="122" t="inlineStr">
        <is>
          <t>Total</t>
        </is>
      </c>
      <c r="AF22" s="122" t="n"/>
      <c r="AG22" s="122" t="inlineStr">
        <is>
          <t>Very or somewhat aligned</t>
        </is>
      </c>
      <c r="AH22" s="122" t="n"/>
      <c r="AI22" s="122" t="n"/>
      <c r="AJ22" s="122" t="n"/>
      <c r="AK22" s="122" t="n"/>
      <c r="AL22" s="122" t="n"/>
      <c r="AM22" s="122" t="n"/>
      <c r="AN22" s="122" t="n"/>
      <c r="AO22" s="122" t="n"/>
      <c r="AP22" s="122" t="n"/>
      <c r="AQ22" s="122" t="n"/>
    </row>
    <row r="23" outlineLevel="1" ht="24.9" customHeight="1" s="59" thickBot="1" thickTop="1">
      <c r="B23" s="186" t="inlineStr">
        <is>
          <t>PFI (Paul Ramsay Foundation)</t>
        </is>
      </c>
      <c r="C23" s="47" t="inlineStr">
        <is>
          <t>Alignment
(dropdown menu):</t>
        </is>
      </c>
      <c r="D23" s="24" t="inlineStr">
        <is>
          <t>Very Aligned</t>
        </is>
      </c>
      <c r="E23" s="24" t="inlineStr">
        <is>
          <t>Very Aligned</t>
        </is>
      </c>
      <c r="F23" s="24" t="inlineStr">
        <is>
          <t>Very Aligned</t>
        </is>
      </c>
      <c r="G23" s="24" t="inlineStr">
        <is>
          <t>Very Aligned</t>
        </is>
      </c>
      <c r="H23" s="24" t="inlineStr">
        <is>
          <t>Very Aligned</t>
        </is>
      </c>
      <c r="I23" s="24" t="inlineStr">
        <is>
          <t>Very Aligned</t>
        </is>
      </c>
      <c r="J23" s="24" t="inlineStr">
        <is>
          <t>Very Aligned</t>
        </is>
      </c>
      <c r="K23" s="24" t="inlineStr">
        <is>
          <t>Very Aligned</t>
        </is>
      </c>
      <c r="L23" s="24" t="inlineStr">
        <is>
          <t>Somewhat Aligned</t>
        </is>
      </c>
      <c r="M23" s="24" t="inlineStr">
        <is>
          <t>Somewhat Aligned</t>
        </is>
      </c>
      <c r="N23" s="24" t="inlineStr">
        <is>
          <t>Somewhat Aligned</t>
        </is>
      </c>
      <c r="O23" s="24" t="inlineStr">
        <is>
          <t>Somewhat Aligned</t>
        </is>
      </c>
      <c r="P23" s="24" t="inlineStr">
        <is>
          <t>Somewhat Aligned</t>
        </is>
      </c>
      <c r="Q23" s="24" t="inlineStr">
        <is>
          <t>Somewhat Aligned</t>
        </is>
      </c>
      <c r="R23" s="24" t="inlineStr">
        <is>
          <t>Somewhat Aligned</t>
        </is>
      </c>
      <c r="S23" s="25" t="inlineStr">
        <is>
          <t>Very Aligned</t>
        </is>
      </c>
      <c r="U23" s="155">
        <f>IF(AE23=6,"Yes","No")</f>
        <v/>
      </c>
      <c r="V23" s="156">
        <f>CONCATENATE(AQ24,"/", AQ9)</f>
        <v/>
      </c>
      <c r="W23" s="156">
        <f>CONCATENATE(AQ23,"/", "10")</f>
        <v/>
      </c>
      <c r="Y23" s="122">
        <f>IF(OR(D23=Dropdowns!$B$1,D23=Dropdowns!$B$2),1,0)</f>
        <v/>
      </c>
      <c r="Z23" s="122">
        <f>IF(OR(E23=Dropdowns!$B$1,E23=Dropdowns!$B$2),1,0)</f>
        <v/>
      </c>
      <c r="AA23" s="122">
        <f>IF(OR(F23=Dropdowns!$B$1,F23=Dropdowns!$B$2),1,0)</f>
        <v/>
      </c>
      <c r="AB23" s="122">
        <f>IF(OR(G23=Dropdowns!$B$1,G23=Dropdowns!$B$2),1,0)</f>
        <v/>
      </c>
      <c r="AC23" s="122">
        <f>IF(OR(H23=Dropdowns!$B$1,H23=Dropdowns!$B$2),1,0)</f>
        <v/>
      </c>
      <c r="AD23" s="122">
        <f>IF(OR(I23=Dropdowns!$B$1,I23=Dropdowns!$B$2),1,0)</f>
        <v/>
      </c>
      <c r="AE23" s="122">
        <f>SUM(Y23:AD23)</f>
        <v/>
      </c>
      <c r="AF23" s="122" t="n"/>
      <c r="AG23" s="122">
        <f>IF(OR(J23=Dropdowns!$B$1,J23=Dropdowns!$B$2),1,0)</f>
        <v/>
      </c>
      <c r="AH23" s="122">
        <f>IF(OR(K23=Dropdowns!$B$1,K23=Dropdowns!$B$2),1,0)</f>
        <v/>
      </c>
      <c r="AI23" s="122">
        <f>IF(OR(L23=Dropdowns!$B$1,L23=Dropdowns!$B$2),1,0)</f>
        <v/>
      </c>
      <c r="AJ23" s="122">
        <f>IF(OR(M23=Dropdowns!$B$1,M23=Dropdowns!$B$2),1,0)</f>
        <v/>
      </c>
      <c r="AK23" s="122">
        <f>IF(OR(N23=Dropdowns!$B$1,N23=Dropdowns!$B$2),1,0)</f>
        <v/>
      </c>
      <c r="AL23" s="122">
        <f>IF(OR(O23=Dropdowns!$B$1,O23=Dropdowns!$B$2),1,0)</f>
        <v/>
      </c>
      <c r="AM23" s="122">
        <f>IF(OR(P23=Dropdowns!$B$1,P23=Dropdowns!$B$2),1,0)</f>
        <v/>
      </c>
      <c r="AN23" s="122">
        <f>IF(OR(Q23=Dropdowns!$B$1,Q23=Dropdowns!$B$2),1,0)</f>
        <v/>
      </c>
      <c r="AO23" s="122">
        <f>IF(OR(R23=Dropdowns!$B$1,R23=Dropdowns!$B$2),1,0)</f>
        <v/>
      </c>
      <c r="AP23" s="122">
        <f>IF(OR(S23=Dropdowns!$B$1,S23=Dropdowns!$B$2),1,0)</f>
        <v/>
      </c>
      <c r="AQ23" s="120">
        <f>SUM(AG23:AP23)</f>
        <v/>
      </c>
    </row>
    <row r="24" outlineLevel="1" ht="65.09999999999999" customHeight="1" s="59" thickBot="1" thickTop="1">
      <c r="B24" s="187" t="n"/>
      <c r="C24" s="48" t="inlineStr">
        <is>
          <t>Notes/comments on investor alignment:</t>
        </is>
      </c>
      <c r="D24" s="26" t="inlineStr">
        <is>
          <t>Recoverable-grant EOI in; AU$640K target; awaiting feedback. Jigsaw co-investor. One fit gap: confirm they will open doors, not only write a cheque.</t>
        </is>
      </c>
      <c r="E24" s="26" t="n"/>
      <c r="F24" s="26" t="n"/>
      <c r="G24" s="26" t="n"/>
      <c r="H24" s="26" t="n"/>
      <c r="I24" s="26" t="n"/>
      <c r="J24" s="26" t="n"/>
      <c r="K24" s="26" t="n"/>
      <c r="L24" s="26" t="n"/>
      <c r="M24" s="26" t="n"/>
      <c r="N24" s="26" t="n"/>
      <c r="O24" s="26" t="n"/>
      <c r="P24" s="26" t="n"/>
      <c r="Q24" s="26" t="n"/>
      <c r="R24" s="26" t="n"/>
      <c r="S24" s="27" t="n"/>
      <c r="U24" s="188" t="n"/>
      <c r="V24" s="188" t="n"/>
      <c r="W24" s="188" t="n"/>
      <c r="Y24" s="122" t="n"/>
      <c r="Z24" s="122" t="n"/>
      <c r="AA24" s="122" t="n"/>
      <c r="AB24" s="122" t="n"/>
      <c r="AC24" s="122" t="n"/>
      <c r="AD24" s="122" t="n"/>
      <c r="AE24" s="122" t="n"/>
      <c r="AF24" s="122" t="n"/>
      <c r="AG24" s="122">
        <f>IF(AG$9=1,AG23,0)</f>
        <v/>
      </c>
      <c r="AH24" s="122">
        <f>IF(AH$9=1,AH23,0)</f>
        <v/>
      </c>
      <c r="AI24" s="122">
        <f>IF(AI$9=1,AI23,0)</f>
        <v/>
      </c>
      <c r="AJ24" s="122">
        <f>IF(AJ$9=1,AJ23,0)</f>
        <v/>
      </c>
      <c r="AK24" s="122">
        <f>IF(AK$9=1,AK23,0)</f>
        <v/>
      </c>
      <c r="AL24" s="122">
        <f>IF(AL$9=1,AL23,0)</f>
        <v/>
      </c>
      <c r="AM24" s="122">
        <f>IF(AM$9=1,AM23,0)</f>
        <v/>
      </c>
      <c r="AN24" s="122">
        <f>IF(AN$9=1,AN23,0)</f>
        <v/>
      </c>
      <c r="AO24" s="122">
        <f>IF(AO$9=1,AO23,0)</f>
        <v/>
      </c>
      <c r="AP24" s="122">
        <f>IF(AP$9=1,AP23,0)</f>
        <v/>
      </c>
      <c r="AQ24" s="120">
        <f>SUM(AG24:AP24)</f>
        <v/>
      </c>
    </row>
    <row r="25" outlineLevel="1" ht="6" customHeight="1" s="59" thickBot="1">
      <c r="A25" s="4" t="n"/>
      <c r="B25" s="55" t="n"/>
      <c r="C25" s="50" t="n"/>
      <c r="D25" s="95" t="n"/>
      <c r="E25" s="95" t="n"/>
      <c r="F25" s="95" t="n"/>
      <c r="G25" s="95" t="n"/>
      <c r="H25" s="95" t="n"/>
      <c r="I25" s="95" t="n"/>
      <c r="J25" s="95" t="n"/>
      <c r="K25" s="95" t="n"/>
      <c r="L25" s="95" t="n"/>
      <c r="M25" s="95" t="n"/>
      <c r="N25" s="95" t="n"/>
      <c r="O25" s="95" t="n"/>
      <c r="P25" s="95" t="n"/>
      <c r="Q25" s="95" t="n"/>
      <c r="R25" s="95" t="n"/>
      <c r="S25" s="95" t="n"/>
      <c r="U25" s="35" t="n"/>
      <c r="Y25" s="122" t="inlineStr">
        <is>
          <t>D</t>
        </is>
      </c>
      <c r="Z25" s="122" t="inlineStr">
        <is>
          <t>E</t>
        </is>
      </c>
      <c r="AA25" s="122" t="inlineStr">
        <is>
          <t>F</t>
        </is>
      </c>
      <c r="AB25" s="122" t="inlineStr">
        <is>
          <t>G</t>
        </is>
      </c>
      <c r="AC25" s="122" t="inlineStr">
        <is>
          <t>H</t>
        </is>
      </c>
      <c r="AD25" s="122" t="inlineStr">
        <is>
          <t>I</t>
        </is>
      </c>
      <c r="AE25" s="122" t="inlineStr">
        <is>
          <t>Total</t>
        </is>
      </c>
      <c r="AF25" s="122" t="n"/>
      <c r="AG25" s="122" t="inlineStr">
        <is>
          <t>Very or somewhat aligned</t>
        </is>
      </c>
      <c r="AH25" s="122" t="n"/>
      <c r="AI25" s="122" t="n"/>
      <c r="AJ25" s="122" t="n"/>
      <c r="AK25" s="122" t="n"/>
      <c r="AL25" s="122" t="n"/>
      <c r="AM25" s="122" t="n"/>
      <c r="AN25" s="122" t="n"/>
      <c r="AO25" s="122" t="n"/>
      <c r="AP25" s="122" t="n"/>
      <c r="AQ25" s="122" t="n"/>
    </row>
    <row r="26" outlineLevel="1" ht="24.9" customHeight="1" s="59" thickBot="1" thickTop="1">
      <c r="B26" s="186" t="inlineStr">
        <is>
          <t>First Australians Capital</t>
        </is>
      </c>
      <c r="C26" s="47" t="inlineStr">
        <is>
          <t>Alignment
(dropdown menu):</t>
        </is>
      </c>
      <c r="D26" s="24" t="inlineStr">
        <is>
          <t>Very Aligned</t>
        </is>
      </c>
      <c r="E26" s="24" t="inlineStr">
        <is>
          <t>Very Aligned</t>
        </is>
      </c>
      <c r="F26" s="24" t="inlineStr">
        <is>
          <t>Very Aligned</t>
        </is>
      </c>
      <c r="G26" s="24" t="inlineStr">
        <is>
          <t>Very Aligned</t>
        </is>
      </c>
      <c r="H26" s="24" t="inlineStr">
        <is>
          <t>Very Aligned</t>
        </is>
      </c>
      <c r="I26" s="24" t="inlineStr">
        <is>
          <t>Very Aligned</t>
        </is>
      </c>
      <c r="J26" s="24" t="inlineStr">
        <is>
          <t>Very Aligned</t>
        </is>
      </c>
      <c r="K26" s="24" t="inlineStr">
        <is>
          <t>Very Aligned</t>
        </is>
      </c>
      <c r="L26" s="24" t="inlineStr">
        <is>
          <t>Somewhat Aligned</t>
        </is>
      </c>
      <c r="M26" s="24" t="inlineStr">
        <is>
          <t>Somewhat Aligned</t>
        </is>
      </c>
      <c r="N26" s="24" t="inlineStr">
        <is>
          <t>Somewhat Aligned</t>
        </is>
      </c>
      <c r="O26" s="24" t="inlineStr">
        <is>
          <t>Somewhat Aligned</t>
        </is>
      </c>
      <c r="P26" s="24" t="inlineStr">
        <is>
          <t>Very Aligned</t>
        </is>
      </c>
      <c r="Q26" s="24" t="inlineStr">
        <is>
          <t>Somewhat Aligned</t>
        </is>
      </c>
      <c r="R26" s="24" t="inlineStr">
        <is>
          <t>Somewhat Aligned</t>
        </is>
      </c>
      <c r="S26" s="25" t="inlineStr">
        <is>
          <t>Very Aligned</t>
        </is>
      </c>
      <c r="U26" s="155">
        <f>IF(AE26=6,"Yes","No")</f>
        <v/>
      </c>
      <c r="V26" s="156">
        <f>CONCATENATE(AQ27,"/", AQ9)</f>
        <v/>
      </c>
      <c r="W26" s="156">
        <f>CONCATENATE(AQ26,"/", "10")</f>
        <v/>
      </c>
      <c r="Y26" s="122">
        <f>IF(OR(D26=Dropdowns!$B$1,D26=Dropdowns!$B$2),1,0)</f>
        <v/>
      </c>
      <c r="Z26" s="122">
        <f>IF(OR(E26=Dropdowns!$B$1,E26=Dropdowns!$B$2),1,0)</f>
        <v/>
      </c>
      <c r="AA26" s="122">
        <f>IF(OR(F26=Dropdowns!$B$1,F26=Dropdowns!$B$2),1,0)</f>
        <v/>
      </c>
      <c r="AB26" s="122">
        <f>IF(OR(G26=Dropdowns!$B$1,G26=Dropdowns!$B$2),1,0)</f>
        <v/>
      </c>
      <c r="AC26" s="122">
        <f>IF(OR(H26=Dropdowns!$B$1,H26=Dropdowns!$B$2),1,0)</f>
        <v/>
      </c>
      <c r="AD26" s="122">
        <f>IF(OR(I26=Dropdowns!$B$1,I26=Dropdowns!$B$2),1,0)</f>
        <v/>
      </c>
      <c r="AE26" s="122">
        <f>SUM(Y26:AD26)</f>
        <v/>
      </c>
      <c r="AF26" s="122" t="n"/>
      <c r="AG26" s="122">
        <f>IF(OR(J26=Dropdowns!$B$1,J26=Dropdowns!$B$2),1,0)</f>
        <v/>
      </c>
      <c r="AH26" s="122">
        <f>IF(OR(K26=Dropdowns!$B$1,K26=Dropdowns!$B$2),1,0)</f>
        <v/>
      </c>
      <c r="AI26" s="122">
        <f>IF(OR(L26=Dropdowns!$B$1,L26=Dropdowns!$B$2),1,0)</f>
        <v/>
      </c>
      <c r="AJ26" s="122">
        <f>IF(OR(M26=Dropdowns!$B$1,M26=Dropdowns!$B$2),1,0)</f>
        <v/>
      </c>
      <c r="AK26" s="122">
        <f>IF(OR(N26=Dropdowns!$B$1,N26=Dropdowns!$B$2),1,0)</f>
        <v/>
      </c>
      <c r="AL26" s="122">
        <f>IF(OR(O26=Dropdowns!$B$1,O26=Dropdowns!$B$2),1,0)</f>
        <v/>
      </c>
      <c r="AM26" s="122">
        <f>IF(OR(P26=Dropdowns!$B$1,P26=Dropdowns!$B$2),1,0)</f>
        <v/>
      </c>
      <c r="AN26" s="122">
        <f>IF(OR(Q26=Dropdowns!$B$1,Q26=Dropdowns!$B$2),1,0)</f>
        <v/>
      </c>
      <c r="AO26" s="122">
        <f>IF(OR(R26=Dropdowns!$B$1,R26=Dropdowns!$B$2),1,0)</f>
        <v/>
      </c>
      <c r="AP26" s="122">
        <f>IF(OR(S26=Dropdowns!$B$1,S26=Dropdowns!$B$2),1,0)</f>
        <v/>
      </c>
      <c r="AQ26" s="120">
        <f>SUM(AG26:AP26)</f>
        <v/>
      </c>
    </row>
    <row r="27" outlineLevel="1" ht="65.09999999999999" customHeight="1" s="59" thickBot="1" thickTop="1">
      <c r="B27" s="187" t="n"/>
      <c r="C27" s="48" t="inlineStr">
        <is>
          <t>Notes/comments on investor alignment:</t>
        </is>
      </c>
      <c r="D27" s="26" t="inlineStr">
        <is>
          <t>Indigenous-led CDFI; provided the AU$1M debt facility in the Dismantle deal. Indicative AU$100–500K. Research-stage: deal terms need confirming. Complementary to IBA.</t>
        </is>
      </c>
      <c r="E27" s="26" t="n"/>
      <c r="F27" s="26" t="n"/>
      <c r="G27" s="26" t="n"/>
      <c r="H27" s="26" t="n"/>
      <c r="I27" s="26" t="n"/>
      <c r="J27" s="26" t="n"/>
      <c r="K27" s="26" t="n"/>
      <c r="L27" s="26" t="n"/>
      <c r="M27" s="26" t="n"/>
      <c r="N27" s="26" t="n"/>
      <c r="O27" s="26" t="n"/>
      <c r="P27" s="26" t="n"/>
      <c r="Q27" s="26" t="n"/>
      <c r="R27" s="26" t="n"/>
      <c r="S27" s="27" t="n"/>
      <c r="U27" s="188" t="n"/>
      <c r="V27" s="188" t="n"/>
      <c r="W27" s="188" t="n"/>
      <c r="Y27" s="122" t="n"/>
      <c r="Z27" s="122" t="n"/>
      <c r="AA27" s="122" t="n"/>
      <c r="AB27" s="122" t="n"/>
      <c r="AC27" s="122" t="n"/>
      <c r="AD27" s="122" t="n"/>
      <c r="AE27" s="122" t="n"/>
      <c r="AF27" s="122" t="n"/>
      <c r="AG27" s="122">
        <f>IF(AG$9=1,AG26,0)</f>
        <v/>
      </c>
      <c r="AH27" s="122">
        <f>IF(AH$9=1,AH26,0)</f>
        <v/>
      </c>
      <c r="AI27" s="122">
        <f>IF(AI$9=1,AI26,0)</f>
        <v/>
      </c>
      <c r="AJ27" s="122">
        <f>IF(AJ$9=1,AJ26,0)</f>
        <v/>
      </c>
      <c r="AK27" s="122">
        <f>IF(AK$9=1,AK26,0)</f>
        <v/>
      </c>
      <c r="AL27" s="122">
        <f>IF(AL$9=1,AL26,0)</f>
        <v/>
      </c>
      <c r="AM27" s="122">
        <f>IF(AM$9=1,AM26,0)</f>
        <v/>
      </c>
      <c r="AN27" s="122">
        <f>IF(AN$9=1,AN26,0)</f>
        <v/>
      </c>
      <c r="AO27" s="122">
        <f>IF(AO$9=1,AO26,0)</f>
        <v/>
      </c>
      <c r="AP27" s="122">
        <f>IF(AP$9=1,AP26,0)</f>
        <v/>
      </c>
      <c r="AQ27" s="120">
        <f>SUM(AG27:AP27)</f>
        <v/>
      </c>
    </row>
    <row r="28" outlineLevel="1" ht="6" customHeight="1" s="59" thickBot="1">
      <c r="C28" s="51" t="n"/>
      <c r="D28" s="95" t="n"/>
      <c r="E28" s="95" t="n"/>
      <c r="F28" s="95" t="n"/>
      <c r="G28" s="95" t="n"/>
      <c r="H28" s="95" t="n"/>
      <c r="I28" s="95" t="n"/>
      <c r="J28" s="95" t="n"/>
      <c r="K28" s="95" t="n"/>
      <c r="L28" s="95" t="n"/>
      <c r="M28" s="95" t="n"/>
      <c r="N28" s="95" t="n"/>
      <c r="O28" s="95" t="n"/>
      <c r="P28" s="95" t="n"/>
      <c r="Q28" s="95" t="n"/>
      <c r="R28" s="95" t="n"/>
      <c r="S28" s="95" t="n"/>
      <c r="U28" s="35" t="n"/>
      <c r="Y28" s="122" t="inlineStr">
        <is>
          <t>D</t>
        </is>
      </c>
      <c r="Z28" s="122" t="inlineStr">
        <is>
          <t>E</t>
        </is>
      </c>
      <c r="AA28" s="122" t="inlineStr">
        <is>
          <t>F</t>
        </is>
      </c>
      <c r="AB28" s="122" t="inlineStr">
        <is>
          <t>G</t>
        </is>
      </c>
      <c r="AC28" s="122" t="inlineStr">
        <is>
          <t>H</t>
        </is>
      </c>
      <c r="AD28" s="122" t="inlineStr">
        <is>
          <t>I</t>
        </is>
      </c>
      <c r="AE28" s="122" t="inlineStr">
        <is>
          <t>Total</t>
        </is>
      </c>
      <c r="AF28" s="122" t="n"/>
      <c r="AG28" s="122" t="inlineStr">
        <is>
          <t>Very or somewhat aligned</t>
        </is>
      </c>
      <c r="AH28" s="122" t="n"/>
      <c r="AI28" s="122" t="n"/>
      <c r="AJ28" s="122" t="n"/>
      <c r="AK28" s="122" t="n"/>
      <c r="AL28" s="122" t="n"/>
      <c r="AM28" s="122" t="n"/>
      <c r="AN28" s="122" t="n"/>
      <c r="AO28" s="122" t="n"/>
      <c r="AP28" s="122" t="n"/>
      <c r="AQ28" s="122" t="n"/>
    </row>
    <row r="29" outlineLevel="1" ht="24.9" customHeight="1" s="59" thickBot="1" thickTop="1">
      <c r="B29" s="186" t="inlineStr">
        <is>
          <t>Minderoo Foundation</t>
        </is>
      </c>
      <c r="C29" s="47" t="inlineStr">
        <is>
          <t>Alignment
(dropdown menu):</t>
        </is>
      </c>
      <c r="D29" s="24" t="inlineStr">
        <is>
          <t>Don't Know</t>
        </is>
      </c>
      <c r="E29" s="24" t="inlineStr">
        <is>
          <t>Very Aligned</t>
        </is>
      </c>
      <c r="F29" s="24" t="inlineStr">
        <is>
          <t>Very Aligned</t>
        </is>
      </c>
      <c r="G29" s="24" t="inlineStr">
        <is>
          <t>Very Aligned</t>
        </is>
      </c>
      <c r="H29" s="24" t="inlineStr">
        <is>
          <t>Very Aligned</t>
        </is>
      </c>
      <c r="I29" s="24" t="inlineStr">
        <is>
          <t>Very Aligned</t>
        </is>
      </c>
      <c r="J29" s="24" t="inlineStr">
        <is>
          <t>Somewhat Aligned</t>
        </is>
      </c>
      <c r="K29" s="24" t="inlineStr">
        <is>
          <t>Somewhat Aligned</t>
        </is>
      </c>
      <c r="L29" s="24" t="inlineStr">
        <is>
          <t>Somewhat Aligned</t>
        </is>
      </c>
      <c r="M29" s="24" t="inlineStr">
        <is>
          <t>Somewhat Aligned</t>
        </is>
      </c>
      <c r="N29" s="24" t="inlineStr">
        <is>
          <t>Somewhat Aligned</t>
        </is>
      </c>
      <c r="O29" s="24" t="inlineStr">
        <is>
          <t>Somewhat Aligned</t>
        </is>
      </c>
      <c r="P29" s="24" t="inlineStr">
        <is>
          <t>Don't Know</t>
        </is>
      </c>
      <c r="Q29" s="24" t="inlineStr">
        <is>
          <t>Don't Know</t>
        </is>
      </c>
      <c r="R29" s="24" t="inlineStr">
        <is>
          <t>Don't Know</t>
        </is>
      </c>
      <c r="S29" s="25" t="inlineStr">
        <is>
          <t>Very Aligned</t>
        </is>
      </c>
      <c r="U29" s="155">
        <f>IF(AE29=6,"Yes","No")</f>
        <v/>
      </c>
      <c r="V29" s="156">
        <f>CONCATENATE(AQ30,"/", AQ9)</f>
        <v/>
      </c>
      <c r="W29" s="156">
        <f>CONCATENATE(AQ29,"/", "10")</f>
        <v/>
      </c>
      <c r="Y29" s="122">
        <f>IF(OR(D29=Dropdowns!$B$1,D29=Dropdowns!$B$2),1,0)</f>
        <v/>
      </c>
      <c r="Z29" s="122">
        <f>IF(OR(E29=Dropdowns!$B$1,E29=Dropdowns!$B$2),1,0)</f>
        <v/>
      </c>
      <c r="AA29" s="122">
        <f>IF(OR(F29=Dropdowns!$B$1,F29=Dropdowns!$B$2),1,0)</f>
        <v/>
      </c>
      <c r="AB29" s="122">
        <f>IF(OR(G29=Dropdowns!$B$1,G29=Dropdowns!$B$2),1,0)</f>
        <v/>
      </c>
      <c r="AC29" s="122">
        <f>IF(OR(H29=Dropdowns!$B$1,H29=Dropdowns!$B$2),1,0)</f>
        <v/>
      </c>
      <c r="AD29" s="122">
        <f>IF(OR(I29=Dropdowns!$B$1,I29=Dropdowns!$B$2),1,0)</f>
        <v/>
      </c>
      <c r="AE29" s="122">
        <f>SUM(Y29:AD29)</f>
        <v/>
      </c>
      <c r="AF29" s="122" t="n"/>
      <c r="AG29" s="122">
        <f>IF(OR(J29=Dropdowns!$B$1,J29=Dropdowns!$B$2),1,0)</f>
        <v/>
      </c>
      <c r="AH29" s="122">
        <f>IF(OR(K29=Dropdowns!$B$1,K29=Dropdowns!$B$2),1,0)</f>
        <v/>
      </c>
      <c r="AI29" s="122">
        <f>IF(OR(L29=Dropdowns!$B$1,L29=Dropdowns!$B$2),1,0)</f>
        <v/>
      </c>
      <c r="AJ29" s="122">
        <f>IF(OR(M29=Dropdowns!$B$1,M29=Dropdowns!$B$2),1,0)</f>
        <v/>
      </c>
      <c r="AK29" s="122">
        <f>IF(OR(N29=Dropdowns!$B$1,N29=Dropdowns!$B$2),1,0)</f>
        <v/>
      </c>
      <c r="AL29" s="122">
        <f>IF(OR(O29=Dropdowns!$B$1,O29=Dropdowns!$B$2),1,0)</f>
        <v/>
      </c>
      <c r="AM29" s="122">
        <f>IF(OR(P29=Dropdowns!$B$1,P29=Dropdowns!$B$2),1,0)</f>
        <v/>
      </c>
      <c r="AN29" s="122">
        <f>IF(OR(Q29=Dropdowns!$B$1,Q29=Dropdowns!$B$2),1,0)</f>
        <v/>
      </c>
      <c r="AO29" s="122">
        <f>IF(OR(R29=Dropdowns!$B$1,R29=Dropdowns!$B$2),1,0)</f>
        <v/>
      </c>
      <c r="AP29" s="122">
        <f>IF(OR(S29=Dropdowns!$B$1,S29=Dropdowns!$B$2),1,0)</f>
        <v/>
      </c>
      <c r="AQ29" s="120">
        <f>SUM(AG29:AP29)</f>
        <v/>
      </c>
    </row>
    <row r="30" outlineLevel="1" ht="65.09999999999999" customHeight="1" s="59" thickBot="1" thickTop="1">
      <c r="B30" s="187" t="n"/>
      <c r="C30" s="48" t="inlineStr">
        <is>
          <t>Notes/comments on investor alignment:</t>
        </is>
      </c>
      <c r="D30" s="26" t="inlineStr">
        <is>
          <t>Catalytic capital bucket; recoverable instrument; AU$200K target. GEOGRAPHY/MANDATE FIT UNCONFIRMED (priorities = oceans, modern slavery) -&gt; Don't Know on Geography, so no knockout pass yet. Relationship-only; gated on June 2026 Minderoo Board.</t>
        </is>
      </c>
      <c r="E30" s="26" t="n"/>
      <c r="F30" s="26" t="n"/>
      <c r="G30" s="26" t="n"/>
      <c r="H30" s="26" t="n"/>
      <c r="I30" s="26" t="n"/>
      <c r="J30" s="26" t="n"/>
      <c r="K30" s="26" t="n"/>
      <c r="L30" s="26" t="n"/>
      <c r="M30" s="26" t="n"/>
      <c r="N30" s="26" t="n"/>
      <c r="O30" s="26" t="n"/>
      <c r="P30" s="26" t="n"/>
      <c r="Q30" s="26" t="n"/>
      <c r="R30" s="26" t="n"/>
      <c r="S30" s="27" t="n"/>
      <c r="U30" s="188" t="n"/>
      <c r="V30" s="188" t="n"/>
      <c r="W30" s="188" t="n"/>
      <c r="Y30" s="122" t="n"/>
      <c r="Z30" s="122" t="n"/>
      <c r="AA30" s="122" t="n"/>
      <c r="AB30" s="122" t="n"/>
      <c r="AC30" s="122" t="n"/>
      <c r="AD30" s="122" t="n"/>
      <c r="AE30" s="122" t="n"/>
      <c r="AF30" s="122" t="n"/>
      <c r="AG30" s="122">
        <f>IF(AG$9=1,AG29,0)</f>
        <v/>
      </c>
      <c r="AH30" s="122">
        <f>IF(AH$9=1,AH29,0)</f>
        <v/>
      </c>
      <c r="AI30" s="122">
        <f>IF(AI$9=1,AI29,0)</f>
        <v/>
      </c>
      <c r="AJ30" s="122">
        <f>IF(AJ$9=1,AJ29,0)</f>
        <v/>
      </c>
      <c r="AK30" s="122">
        <f>IF(AK$9=1,AK29,0)</f>
        <v/>
      </c>
      <c r="AL30" s="122">
        <f>IF(AL$9=1,AL29,0)</f>
        <v/>
      </c>
      <c r="AM30" s="122">
        <f>IF(AM$9=1,AM29,0)</f>
        <v/>
      </c>
      <c r="AN30" s="122">
        <f>IF(AN$9=1,AN29,0)</f>
        <v/>
      </c>
      <c r="AO30" s="122">
        <f>IF(AO$9=1,AO29,0)</f>
        <v/>
      </c>
      <c r="AP30" s="122">
        <f>IF(AP$9=1,AP29,0)</f>
        <v/>
      </c>
      <c r="AQ30" s="120">
        <f>SUM(AG30:AP30)</f>
        <v/>
      </c>
    </row>
    <row r="31" outlineLevel="1" ht="6" customHeight="1" s="59" thickBot="1">
      <c r="C31" s="51" t="n"/>
      <c r="D31" s="95" t="n"/>
      <c r="E31" s="95" t="n"/>
      <c r="F31" s="95" t="n"/>
      <c r="G31" s="95" t="n"/>
      <c r="H31" s="95" t="n"/>
      <c r="I31" s="95" t="n"/>
      <c r="J31" s="95" t="n"/>
      <c r="K31" s="95" t="n"/>
      <c r="L31" s="95" t="n"/>
      <c r="M31" s="95" t="n"/>
      <c r="N31" s="95" t="n"/>
      <c r="O31" s="95" t="n"/>
      <c r="P31" s="95" t="n"/>
      <c r="Q31" s="95" t="n"/>
      <c r="R31" s="95" t="n"/>
      <c r="S31" s="95" t="n"/>
      <c r="U31" s="35" t="n"/>
      <c r="Y31" s="122" t="inlineStr">
        <is>
          <t>D</t>
        </is>
      </c>
      <c r="Z31" s="122" t="inlineStr">
        <is>
          <t>E</t>
        </is>
      </c>
      <c r="AA31" s="122" t="inlineStr">
        <is>
          <t>F</t>
        </is>
      </c>
      <c r="AB31" s="122" t="inlineStr">
        <is>
          <t>G</t>
        </is>
      </c>
      <c r="AC31" s="122" t="inlineStr">
        <is>
          <t>H</t>
        </is>
      </c>
      <c r="AD31" s="122" t="inlineStr">
        <is>
          <t>I</t>
        </is>
      </c>
      <c r="AE31" s="122" t="inlineStr">
        <is>
          <t>Total</t>
        </is>
      </c>
      <c r="AF31" s="122" t="n"/>
      <c r="AG31" s="122" t="inlineStr">
        <is>
          <t>Very or somewhat aligned</t>
        </is>
      </c>
      <c r="AH31" s="122" t="n"/>
      <c r="AI31" s="122" t="n"/>
      <c r="AJ31" s="122" t="n"/>
      <c r="AK31" s="122" t="n"/>
      <c r="AL31" s="122" t="n"/>
      <c r="AM31" s="122" t="n"/>
      <c r="AN31" s="122" t="n"/>
      <c r="AO31" s="122" t="n"/>
      <c r="AP31" s="122" t="n"/>
      <c r="AQ31" s="122" t="n"/>
    </row>
    <row r="32" outlineLevel="1" ht="24.9" customHeight="1" s="59" thickBot="1" thickTop="1">
      <c r="B32" s="186" t="inlineStr">
        <is>
          <t>Tim Fairfax Family Foundation</t>
        </is>
      </c>
      <c r="C32" s="47" t="inlineStr">
        <is>
          <t>Alignment
(dropdown menu):</t>
        </is>
      </c>
      <c r="D32" s="24" t="inlineStr">
        <is>
          <t>Very Aligned</t>
        </is>
      </c>
      <c r="E32" s="24" t="inlineStr">
        <is>
          <t>Very Aligned</t>
        </is>
      </c>
      <c r="F32" s="24" t="inlineStr">
        <is>
          <t>Don't Know</t>
        </is>
      </c>
      <c r="G32" s="24" t="inlineStr">
        <is>
          <t>Very Aligned</t>
        </is>
      </c>
      <c r="H32" s="24" t="inlineStr">
        <is>
          <t>Don't Know</t>
        </is>
      </c>
      <c r="I32" s="24" t="inlineStr">
        <is>
          <t>Don't Know</t>
        </is>
      </c>
      <c r="J32" s="24" t="inlineStr">
        <is>
          <t>Very Aligned</t>
        </is>
      </c>
      <c r="K32" s="24" t="inlineStr">
        <is>
          <t>Somewhat Aligned</t>
        </is>
      </c>
      <c r="L32" s="24" t="inlineStr">
        <is>
          <t>Don't Know</t>
        </is>
      </c>
      <c r="M32" s="24" t="inlineStr">
        <is>
          <t>Don't Know</t>
        </is>
      </c>
      <c r="N32" s="24" t="inlineStr">
        <is>
          <t>Somewhat Aligned</t>
        </is>
      </c>
      <c r="O32" s="24" t="inlineStr">
        <is>
          <t>Somewhat Aligned</t>
        </is>
      </c>
      <c r="P32" s="24" t="inlineStr">
        <is>
          <t>Very Aligned</t>
        </is>
      </c>
      <c r="Q32" s="24" t="inlineStr">
        <is>
          <t>Don't Know</t>
        </is>
      </c>
      <c r="R32" s="24" t="inlineStr">
        <is>
          <t>Don't Know</t>
        </is>
      </c>
      <c r="S32" s="25" t="inlineStr">
        <is>
          <t>Somewhat Aligned</t>
        </is>
      </c>
      <c r="U32" s="155">
        <f>IF(AE32=6,"Yes","No")</f>
        <v/>
      </c>
      <c r="V32" s="156">
        <f>CONCATENATE(AQ33,"/", AQ9)</f>
        <v/>
      </c>
      <c r="W32" s="156">
        <f>CONCATENATE(AQ32,"/", "10")</f>
        <v/>
      </c>
      <c r="Y32" s="122">
        <f>IF(OR(D32=Dropdowns!$B$1,D32=Dropdowns!$B$2),1,0)</f>
        <v/>
      </c>
      <c r="Z32" s="122">
        <f>IF(OR(E32=Dropdowns!$B$1,E32=Dropdowns!$B$2),1,0)</f>
        <v/>
      </c>
      <c r="AA32" s="122">
        <f>IF(OR(F32=Dropdowns!$B$1,F32=Dropdowns!$B$2),1,0)</f>
        <v/>
      </c>
      <c r="AB32" s="122">
        <f>IF(OR(G32=Dropdowns!$B$1,G32=Dropdowns!$B$2),1,0)</f>
        <v/>
      </c>
      <c r="AC32" s="122">
        <f>IF(OR(H32=Dropdowns!$B$1,H32=Dropdowns!$B$2),1,0)</f>
        <v/>
      </c>
      <c r="AD32" s="122">
        <f>IF(OR(I32=Dropdowns!$B$1,I32=Dropdowns!$B$2),1,0)</f>
        <v/>
      </c>
      <c r="AE32" s="122">
        <f>SUM(Y32:AD32)</f>
        <v/>
      </c>
      <c r="AF32" s="122" t="n"/>
      <c r="AG32" s="122">
        <f>IF(OR(J32=Dropdowns!$B$1,J32=Dropdowns!$B$2),1,0)</f>
        <v/>
      </c>
      <c r="AH32" s="122">
        <f>IF(OR(K32=Dropdowns!$B$1,K32=Dropdowns!$B$2),1,0)</f>
        <v/>
      </c>
      <c r="AI32" s="122">
        <f>IF(OR(L32=Dropdowns!$B$1,L32=Dropdowns!$B$2),1,0)</f>
        <v/>
      </c>
      <c r="AJ32" s="122">
        <f>IF(OR(M32=Dropdowns!$B$1,M32=Dropdowns!$B$2),1,0)</f>
        <v/>
      </c>
      <c r="AK32" s="122">
        <f>IF(OR(N32=Dropdowns!$B$1,N32=Dropdowns!$B$2),1,0)</f>
        <v/>
      </c>
      <c r="AL32" s="122">
        <f>IF(OR(O32=Dropdowns!$B$1,O32=Dropdowns!$B$2),1,0)</f>
        <v/>
      </c>
      <c r="AM32" s="122">
        <f>IF(OR(P32=Dropdowns!$B$1,P32=Dropdowns!$B$2),1,0)</f>
        <v/>
      </c>
      <c r="AN32" s="122">
        <f>IF(OR(Q32=Dropdowns!$B$1,Q32=Dropdowns!$B$2),1,0)</f>
        <v/>
      </c>
      <c r="AO32" s="122">
        <f>IF(OR(R32=Dropdowns!$B$1,R32=Dropdowns!$B$2),1,0)</f>
        <v/>
      </c>
      <c r="AP32" s="122">
        <f>IF(OR(S32=Dropdowns!$B$1,S32=Dropdowns!$B$2),1,0)</f>
        <v/>
      </c>
      <c r="AQ32" s="120">
        <f>SUM(AG32:AP32)</f>
        <v/>
      </c>
    </row>
    <row r="33" outlineLevel="1" ht="65.09999999999999" customHeight="1" s="59" thickBot="1" thickTop="1">
      <c r="B33" s="187" t="n"/>
      <c r="C33" s="48" t="inlineStr">
        <is>
          <t>Notes/comments on investor alignment:</t>
        </is>
      </c>
      <c r="D33" s="26" t="inlineStr">
        <is>
          <t>Qld / remote / Indigenous community development; indicative AU$50–150K. CAPITAL TYPE / STAGE / SIZE FIT NOT CONFIRMED -&gt; Don't Know, no knockout pass yet. Advisory relationship (Katie Norman). Lead with Palm Island proof.</t>
        </is>
      </c>
      <c r="E33" s="26" t="n"/>
      <c r="F33" s="26" t="n"/>
      <c r="G33" s="26" t="n"/>
      <c r="H33" s="26" t="n"/>
      <c r="I33" s="26" t="n"/>
      <c r="J33" s="26" t="n"/>
      <c r="K33" s="26" t="n"/>
      <c r="L33" s="26" t="n"/>
      <c r="M33" s="26" t="n"/>
      <c r="N33" s="26" t="n"/>
      <c r="O33" s="26" t="n"/>
      <c r="P33" s="26" t="n"/>
      <c r="Q33" s="26" t="n"/>
      <c r="R33" s="26" t="n"/>
      <c r="S33" s="27" t="n"/>
      <c r="U33" s="188" t="n"/>
      <c r="V33" s="188" t="n"/>
      <c r="W33" s="188" t="n"/>
      <c r="Y33" s="122" t="n"/>
      <c r="Z33" s="122" t="n"/>
      <c r="AA33" s="122" t="n"/>
      <c r="AB33" s="122" t="n"/>
      <c r="AC33" s="122" t="n"/>
      <c r="AD33" s="122" t="n"/>
      <c r="AE33" s="122" t="n"/>
      <c r="AF33" s="122" t="n"/>
      <c r="AG33" s="122">
        <f>IF(AG$9=1,AG32,0)</f>
        <v/>
      </c>
      <c r="AH33" s="122">
        <f>IF(AH$9=1,AH32,0)</f>
        <v/>
      </c>
      <c r="AI33" s="122">
        <f>IF(AI$9=1,AI32,0)</f>
        <v/>
      </c>
      <c r="AJ33" s="122">
        <f>IF(AJ$9=1,AJ32,0)</f>
        <v/>
      </c>
      <c r="AK33" s="122">
        <f>IF(AK$9=1,AK32,0)</f>
        <v/>
      </c>
      <c r="AL33" s="122">
        <f>IF(AL$9=1,AL32,0)</f>
        <v/>
      </c>
      <c r="AM33" s="122">
        <f>IF(AM$9=1,AM32,0)</f>
        <v/>
      </c>
      <c r="AN33" s="122">
        <f>IF(AN$9=1,AN32,0)</f>
        <v/>
      </c>
      <c r="AO33" s="122">
        <f>IF(AO$9=1,AO32,0)</f>
        <v/>
      </c>
      <c r="AP33" s="122">
        <f>IF(AP$9=1,AP32,0)</f>
        <v/>
      </c>
      <c r="AQ33" s="120">
        <f>SUM(AG33:AP33)</f>
        <v/>
      </c>
    </row>
    <row r="34" outlineLevel="1" ht="6" customHeight="1" s="59" thickBot="1">
      <c r="C34" s="51" t="n"/>
      <c r="D34" s="95" t="n"/>
      <c r="E34" s="95" t="n"/>
      <c r="F34" s="95" t="n"/>
      <c r="G34" s="95" t="n"/>
      <c r="H34" s="95" t="n"/>
      <c r="I34" s="95" t="n"/>
      <c r="J34" s="95" t="n"/>
      <c r="K34" s="95" t="n"/>
      <c r="L34" s="95" t="n"/>
      <c r="M34" s="95" t="n"/>
      <c r="N34" s="95" t="n"/>
      <c r="O34" s="95" t="n"/>
      <c r="P34" s="95" t="n"/>
      <c r="Q34" s="95" t="n"/>
      <c r="R34" s="95" t="n"/>
      <c r="S34" s="95" t="n"/>
      <c r="U34" s="35" t="n"/>
      <c r="Y34" s="122" t="inlineStr">
        <is>
          <t>D</t>
        </is>
      </c>
      <c r="Z34" s="122" t="inlineStr">
        <is>
          <t>E</t>
        </is>
      </c>
      <c r="AA34" s="122" t="inlineStr">
        <is>
          <t>F</t>
        </is>
      </c>
      <c r="AB34" s="122" t="inlineStr">
        <is>
          <t>G</t>
        </is>
      </c>
      <c r="AC34" s="122" t="inlineStr">
        <is>
          <t>H</t>
        </is>
      </c>
      <c r="AD34" s="122" t="inlineStr">
        <is>
          <t>I</t>
        </is>
      </c>
      <c r="AE34" s="122" t="inlineStr">
        <is>
          <t>Total</t>
        </is>
      </c>
      <c r="AF34" s="122" t="n"/>
      <c r="AG34" s="122" t="inlineStr">
        <is>
          <t>Very or somewhat aligned</t>
        </is>
      </c>
      <c r="AH34" s="122" t="n"/>
      <c r="AI34" s="122" t="n"/>
      <c r="AJ34" s="122" t="n"/>
      <c r="AK34" s="122" t="n"/>
      <c r="AL34" s="122" t="n"/>
      <c r="AM34" s="122" t="n"/>
      <c r="AN34" s="122" t="n"/>
      <c r="AO34" s="122" t="n"/>
      <c r="AP34" s="122" t="n"/>
      <c r="AQ34" s="122" t="n"/>
    </row>
    <row r="35" outlineLevel="1" ht="24.9" customHeight="1" s="59" thickBot="1" thickTop="1">
      <c r="B35" s="186" t="inlineStr">
        <is>
          <t>Dusseldorp Forum</t>
        </is>
      </c>
      <c r="C35" s="47" t="inlineStr">
        <is>
          <t>Alignment
(dropdown menu):</t>
        </is>
      </c>
      <c r="D35" s="24" t="inlineStr">
        <is>
          <t>Don't Know</t>
        </is>
      </c>
      <c r="E35" s="24" t="inlineStr">
        <is>
          <t>Don't Know</t>
        </is>
      </c>
      <c r="F35" s="24" t="inlineStr">
        <is>
          <t>Don't Know</t>
        </is>
      </c>
      <c r="G35" s="24" t="inlineStr">
        <is>
          <t>Don't Know</t>
        </is>
      </c>
      <c r="H35" s="24" t="inlineStr">
        <is>
          <t>Don't Know</t>
        </is>
      </c>
      <c r="I35" s="24" t="inlineStr">
        <is>
          <t>Don't Know</t>
        </is>
      </c>
      <c r="J35" s="24" t="inlineStr">
        <is>
          <t>Very Aligned</t>
        </is>
      </c>
      <c r="K35" s="24" t="inlineStr">
        <is>
          <t>Somewhat Aligned</t>
        </is>
      </c>
      <c r="L35" s="24" t="inlineStr">
        <is>
          <t>Don't Know</t>
        </is>
      </c>
      <c r="M35" s="24" t="inlineStr">
        <is>
          <t>Don't Know</t>
        </is>
      </c>
      <c r="N35" s="24" t="inlineStr">
        <is>
          <t>Don't Know</t>
        </is>
      </c>
      <c r="O35" s="24" t="inlineStr">
        <is>
          <t>Somewhat Aligned</t>
        </is>
      </c>
      <c r="P35" s="24" t="inlineStr">
        <is>
          <t>Somewhat Aligned</t>
        </is>
      </c>
      <c r="Q35" s="24" t="inlineStr">
        <is>
          <t>Don't Know</t>
        </is>
      </c>
      <c r="R35" s="24" t="inlineStr">
        <is>
          <t>Don't Know</t>
        </is>
      </c>
      <c r="S35" s="25" t="inlineStr">
        <is>
          <t>Somewhat Aligned</t>
        </is>
      </c>
      <c r="U35" s="155">
        <f>IF(AE35=6,"Yes","No")</f>
        <v/>
      </c>
      <c r="V35" s="156">
        <f>CONCATENATE(AQ36,"/", AQ9)</f>
        <v/>
      </c>
      <c r="W35" s="156">
        <f>CONCATENATE(AQ35,"/", "10")</f>
        <v/>
      </c>
      <c r="Y35" s="122">
        <f>IF(OR(D35=Dropdowns!$B$1,D35=Dropdowns!$B$2),1,0)</f>
        <v/>
      </c>
      <c r="Z35" s="122">
        <f>IF(OR(E35=Dropdowns!$B$1,E35=Dropdowns!$B$2),1,0)</f>
        <v/>
      </c>
      <c r="AA35" s="122">
        <f>IF(OR(F35=Dropdowns!$B$1,F35=Dropdowns!$B$2),1,0)</f>
        <v/>
      </c>
      <c r="AB35" s="122">
        <f>IF(OR(G35=Dropdowns!$B$1,G35=Dropdowns!$B$2),1,0)</f>
        <v/>
      </c>
      <c r="AC35" s="122">
        <f>IF(OR(H35=Dropdowns!$B$1,H35=Dropdowns!$B$2),1,0)</f>
        <v/>
      </c>
      <c r="AD35" s="122">
        <f>IF(OR(I35=Dropdowns!$B$1,I35=Dropdowns!$B$2),1,0)</f>
        <v/>
      </c>
      <c r="AE35" s="122">
        <f>SUM(Y35:AD35)</f>
        <v/>
      </c>
      <c r="AF35" s="122" t="n"/>
      <c r="AG35" s="122">
        <f>IF(OR(J35=Dropdowns!$B$1,J35=Dropdowns!$B$2),1,0)</f>
        <v/>
      </c>
      <c r="AH35" s="122">
        <f>IF(OR(K35=Dropdowns!$B$1,K35=Dropdowns!$B$2),1,0)</f>
        <v/>
      </c>
      <c r="AI35" s="122">
        <f>IF(OR(L35=Dropdowns!$B$1,L35=Dropdowns!$B$2),1,0)</f>
        <v/>
      </c>
      <c r="AJ35" s="122">
        <f>IF(OR(M35=Dropdowns!$B$1,M35=Dropdowns!$B$2),1,0)</f>
        <v/>
      </c>
      <c r="AK35" s="122">
        <f>IF(OR(N35=Dropdowns!$B$1,N35=Dropdowns!$B$2),1,0)</f>
        <v/>
      </c>
      <c r="AL35" s="122">
        <f>IF(OR(O35=Dropdowns!$B$1,O35=Dropdowns!$B$2),1,0)</f>
        <v/>
      </c>
      <c r="AM35" s="122">
        <f>IF(OR(P35=Dropdowns!$B$1,P35=Dropdowns!$B$2),1,0)</f>
        <v/>
      </c>
      <c r="AN35" s="122">
        <f>IF(OR(Q35=Dropdowns!$B$1,Q35=Dropdowns!$B$2),1,0)</f>
        <v/>
      </c>
      <c r="AO35" s="122">
        <f>IF(OR(R35=Dropdowns!$B$1,R35=Dropdowns!$B$2),1,0)</f>
        <v/>
      </c>
      <c r="AP35" s="122">
        <f>IF(OR(S35=Dropdowns!$B$1,S35=Dropdowns!$B$2),1,0)</f>
        <v/>
      </c>
      <c r="AQ35" s="120">
        <f>SUM(AG35:AP35)</f>
        <v/>
      </c>
    </row>
    <row r="36" outlineLevel="1" ht="65.09999999999999" customHeight="1" s="59" thickBot="1" thickTop="1">
      <c r="B36" s="187" t="n"/>
      <c r="C36" s="48" t="inlineStr">
        <is>
          <t>Notes/comments on investor alignment:</t>
        </is>
      </c>
      <c r="D36" s="26" t="inlineStr">
        <is>
          <t>NOT a Goods funder — the known AU$15K is Mounty Backyard / Contained / JusticeHub. No Goods-specific mandate to score -&gt; Don't Know on all knockouts. Possible relationship context only.</t>
        </is>
      </c>
      <c r="E36" s="26" t="n"/>
      <c r="F36" s="26" t="n"/>
      <c r="G36" s="26" t="n"/>
      <c r="H36" s="26" t="n"/>
      <c r="I36" s="26" t="n"/>
      <c r="J36" s="26" t="n"/>
      <c r="K36" s="26" t="n"/>
      <c r="L36" s="26" t="n"/>
      <c r="M36" s="26" t="n"/>
      <c r="N36" s="26" t="n"/>
      <c r="O36" s="26" t="n"/>
      <c r="P36" s="26" t="n"/>
      <c r="Q36" s="26" t="n"/>
      <c r="R36" s="26" t="n"/>
      <c r="S36" s="27" t="n"/>
      <c r="U36" s="188" t="n"/>
      <c r="V36" s="188" t="n"/>
      <c r="W36" s="188" t="n"/>
      <c r="Y36" s="122" t="n"/>
      <c r="Z36" s="122" t="n"/>
      <c r="AA36" s="122" t="n"/>
      <c r="AB36" s="122" t="n"/>
      <c r="AC36" s="122" t="n"/>
      <c r="AD36" s="122" t="n"/>
      <c r="AE36" s="122" t="n"/>
      <c r="AF36" s="122" t="n"/>
      <c r="AG36" s="122">
        <f>IF(AG$9=1,AG35,0)</f>
        <v/>
      </c>
      <c r="AH36" s="122">
        <f>IF(AH$9=1,AH35,0)</f>
        <v/>
      </c>
      <c r="AI36" s="122">
        <f>IF(AI$9=1,AI35,0)</f>
        <v/>
      </c>
      <c r="AJ36" s="122">
        <f>IF(AJ$9=1,AJ35,0)</f>
        <v/>
      </c>
      <c r="AK36" s="122">
        <f>IF(AK$9=1,AK35,0)</f>
        <v/>
      </c>
      <c r="AL36" s="122">
        <f>IF(AL$9=1,AL35,0)</f>
        <v/>
      </c>
      <c r="AM36" s="122">
        <f>IF(AM$9=1,AM35,0)</f>
        <v/>
      </c>
      <c r="AN36" s="122">
        <f>IF(AN$9=1,AN35,0)</f>
        <v/>
      </c>
      <c r="AO36" s="122">
        <f>IF(AO$9=1,AO35,0)</f>
        <v/>
      </c>
      <c r="AP36" s="122">
        <f>IF(AP$9=1,AP35,0)</f>
        <v/>
      </c>
      <c r="AQ36" s="120">
        <f>SUM(AG36:AP36)</f>
        <v/>
      </c>
    </row>
    <row r="37" outlineLevel="1" ht="6" customHeight="1" s="59" thickBot="1">
      <c r="C37" s="51" t="n"/>
      <c r="D37" s="95" t="n"/>
      <c r="E37" s="95" t="n"/>
      <c r="F37" s="95" t="n"/>
      <c r="G37" s="95" t="n"/>
      <c r="H37" s="95" t="n"/>
      <c r="I37" s="95" t="n"/>
      <c r="J37" s="95" t="n"/>
      <c r="K37" s="95" t="n"/>
      <c r="L37" s="95" t="n"/>
      <c r="M37" s="95" t="n"/>
      <c r="N37" s="95" t="n"/>
      <c r="O37" s="95" t="n"/>
      <c r="P37" s="95" t="n"/>
      <c r="Q37" s="95" t="n"/>
      <c r="R37" s="95" t="n"/>
      <c r="S37" s="95" t="n"/>
      <c r="U37" s="35" t="n"/>
      <c r="Y37" s="122" t="inlineStr">
        <is>
          <t>D</t>
        </is>
      </c>
      <c r="Z37" s="122" t="inlineStr">
        <is>
          <t>E</t>
        </is>
      </c>
      <c r="AA37" s="122" t="inlineStr">
        <is>
          <t>F</t>
        </is>
      </c>
      <c r="AB37" s="122" t="inlineStr">
        <is>
          <t>G</t>
        </is>
      </c>
      <c r="AC37" s="122" t="inlineStr">
        <is>
          <t>H</t>
        </is>
      </c>
      <c r="AD37" s="122" t="inlineStr">
        <is>
          <t>I</t>
        </is>
      </c>
      <c r="AE37" s="122" t="inlineStr">
        <is>
          <t>Total</t>
        </is>
      </c>
      <c r="AF37" s="122" t="n"/>
      <c r="AG37" s="122" t="inlineStr">
        <is>
          <t>Very or somewhat aligned</t>
        </is>
      </c>
      <c r="AH37" s="122" t="n"/>
      <c r="AI37" s="122" t="n"/>
      <c r="AJ37" s="122" t="n"/>
      <c r="AK37" s="122" t="n"/>
      <c r="AL37" s="122" t="n"/>
      <c r="AM37" s="122" t="n"/>
      <c r="AN37" s="122" t="n"/>
      <c r="AO37" s="122" t="n"/>
      <c r="AP37" s="122" t="n"/>
      <c r="AQ37" s="122" t="n"/>
    </row>
    <row r="38" outlineLevel="1" ht="24.9" customHeight="1" s="59" thickBot="1" thickTop="1">
      <c r="B38" s="186" t="inlineStr">
        <is>
          <t>TFN (The Funding Network)</t>
        </is>
      </c>
      <c r="C38" s="47" t="inlineStr">
        <is>
          <t>Alignment
(dropdown menu):</t>
        </is>
      </c>
      <c r="D38" s="24" t="inlineStr">
        <is>
          <t>Very Aligned</t>
        </is>
      </c>
      <c r="E38" s="24" t="inlineStr">
        <is>
          <t>Very Aligned</t>
        </is>
      </c>
      <c r="F38" s="24" t="inlineStr">
        <is>
          <t>Very Aligned</t>
        </is>
      </c>
      <c r="G38" s="24" t="inlineStr">
        <is>
          <t>Very Aligned</t>
        </is>
      </c>
      <c r="H38" s="24" t="inlineStr">
        <is>
          <t>Very Aligned</t>
        </is>
      </c>
      <c r="I38" s="24" t="inlineStr">
        <is>
          <t>Very Aligned</t>
        </is>
      </c>
      <c r="J38" s="24" t="inlineStr">
        <is>
          <t>Very Aligned</t>
        </is>
      </c>
      <c r="K38" s="24" t="inlineStr">
        <is>
          <t>Very Aligned</t>
        </is>
      </c>
      <c r="L38" s="24" t="inlineStr">
        <is>
          <t>Very Aligned</t>
        </is>
      </c>
      <c r="M38" s="24" t="inlineStr">
        <is>
          <t>Very Aligned</t>
        </is>
      </c>
      <c r="N38" s="24" t="inlineStr">
        <is>
          <t>Very Aligned</t>
        </is>
      </c>
      <c r="O38" s="24" t="inlineStr">
        <is>
          <t>Very Aligned</t>
        </is>
      </c>
      <c r="P38" s="24" t="inlineStr">
        <is>
          <t>Somewhat Aligned</t>
        </is>
      </c>
      <c r="Q38" s="24" t="inlineStr">
        <is>
          <t>Somewhat Aligned</t>
        </is>
      </c>
      <c r="R38" s="24" t="inlineStr">
        <is>
          <t>Very Aligned</t>
        </is>
      </c>
      <c r="S38" s="25" t="inlineStr">
        <is>
          <t>Very Aligned</t>
        </is>
      </c>
      <c r="U38" s="155">
        <f>IF(AE38=6,"Yes","No")</f>
        <v/>
      </c>
      <c r="V38" s="156">
        <f>CONCATENATE(AQ39,"/", AQ12)</f>
        <v/>
      </c>
      <c r="W38" s="156">
        <f>CONCATENATE(AQ38,"/", "10")</f>
        <v/>
      </c>
      <c r="Y38" s="122">
        <f>IF(OR(D38=Dropdowns!$B$1,D38=Dropdowns!$B$2),1,0)</f>
        <v/>
      </c>
      <c r="Z38" s="122">
        <f>IF(OR(E38=Dropdowns!$B$1,E38=Dropdowns!$B$2),1,0)</f>
        <v/>
      </c>
      <c r="AA38" s="122">
        <f>IF(OR(F38=Dropdowns!$B$1,F38=Dropdowns!$B$2),1,0)</f>
        <v/>
      </c>
      <c r="AB38" s="122">
        <f>IF(OR(G38=Dropdowns!$B$1,G38=Dropdowns!$B$2),1,0)</f>
        <v/>
      </c>
      <c r="AC38" s="122">
        <f>IF(OR(H38=Dropdowns!$B$1,H38=Dropdowns!$B$2),1,0)</f>
        <v/>
      </c>
      <c r="AD38" s="122">
        <f>IF(OR(I38=Dropdowns!$B$1,I38=Dropdowns!$B$2),1,0)</f>
        <v/>
      </c>
      <c r="AE38" s="122">
        <f>SUM(Y38:AD38)</f>
        <v/>
      </c>
      <c r="AF38" s="122" t="n"/>
      <c r="AG38" s="122">
        <f>IF(OR(J38=Dropdowns!$B$1,J38=Dropdowns!$B$2),1,0)</f>
        <v/>
      </c>
      <c r="AH38" s="122">
        <f>IF(OR(K38=Dropdowns!$B$1,K38=Dropdowns!$B$2),1,0)</f>
        <v/>
      </c>
      <c r="AI38" s="122">
        <f>IF(OR(L38=Dropdowns!$B$1,L38=Dropdowns!$B$2),1,0)</f>
        <v/>
      </c>
      <c r="AJ38" s="122">
        <f>IF(OR(M38=Dropdowns!$B$1,M38=Dropdowns!$B$2),1,0)</f>
        <v/>
      </c>
      <c r="AK38" s="122">
        <f>IF(OR(N38=Dropdowns!$B$1,N38=Dropdowns!$B$2),1,0)</f>
        <v/>
      </c>
      <c r="AL38" s="122">
        <f>IF(OR(O38=Dropdowns!$B$1,O38=Dropdowns!$B$2),1,0)</f>
        <v/>
      </c>
      <c r="AM38" s="122">
        <f>IF(OR(P38=Dropdowns!$B$1,P38=Dropdowns!$B$2),1,0)</f>
        <v/>
      </c>
      <c r="AN38" s="122">
        <f>IF(OR(Q38=Dropdowns!$B$1,Q38=Dropdowns!$B$2),1,0)</f>
        <v/>
      </c>
      <c r="AO38" s="122">
        <f>IF(OR(R38=Dropdowns!$B$1,R38=Dropdowns!$B$2),1,0)</f>
        <v/>
      </c>
      <c r="AP38" s="122">
        <f>IF(OR(S38=Dropdowns!$B$1,S38=Dropdowns!$B$2),1,0)</f>
        <v/>
      </c>
      <c r="AQ38" s="120">
        <f>SUM(AG38:AP38)</f>
        <v/>
      </c>
    </row>
    <row r="39" outlineLevel="1" ht="65.09999999999999" customHeight="1" s="59" thickBot="1" thickTop="1">
      <c r="B39" s="187" t="n"/>
      <c r="C39" s="48" t="inlineStr">
        <is>
          <t>Notes/comments on investor alignment:</t>
        </is>
      </c>
      <c r="D39" s="26" t="inlineStr">
        <is>
          <t>Received AU$130K (Dec 2025). Live-pitch model. Best used as an alumni-network CONNECTOR to downstream funders rather than a follow-on cheque.</t>
        </is>
      </c>
      <c r="E39" s="26" t="n"/>
      <c r="F39" s="26" t="n"/>
      <c r="G39" s="26" t="n"/>
      <c r="H39" s="26" t="n"/>
      <c r="I39" s="26" t="n"/>
      <c r="J39" s="26" t="n"/>
      <c r="K39" s="26" t="n"/>
      <c r="L39" s="26" t="n"/>
      <c r="M39" s="26" t="n"/>
      <c r="N39" s="26" t="n"/>
      <c r="O39" s="26" t="n"/>
      <c r="P39" s="26" t="n"/>
      <c r="Q39" s="26" t="n"/>
      <c r="R39" s="26" t="n"/>
      <c r="S39" s="27" t="n"/>
      <c r="U39" s="188" t="n"/>
      <c r="V39" s="188" t="n"/>
      <c r="W39" s="188" t="n"/>
      <c r="Y39" s="122" t="n"/>
      <c r="Z39" s="122" t="n"/>
      <c r="AA39" s="122" t="n"/>
      <c r="AB39" s="122" t="n"/>
      <c r="AC39" s="122" t="n"/>
      <c r="AD39" s="122" t="n"/>
      <c r="AE39" s="122" t="n"/>
      <c r="AF39" s="122" t="n"/>
      <c r="AG39" s="122">
        <f>IF(AG$9=1,AG38,0)</f>
        <v/>
      </c>
      <c r="AH39" s="122">
        <f>IF(AH$9=1,AH38,0)</f>
        <v/>
      </c>
      <c r="AI39" s="122">
        <f>IF(AI$9=1,AI38,0)</f>
        <v/>
      </c>
      <c r="AJ39" s="122">
        <f>IF(AJ$9=1,AJ38,0)</f>
        <v/>
      </c>
      <c r="AK39" s="122">
        <f>IF(AK$9=1,AK38,0)</f>
        <v/>
      </c>
      <c r="AL39" s="122">
        <f>IF(AL$9=1,AL38,0)</f>
        <v/>
      </c>
      <c r="AM39" s="122">
        <f>IF(AM$9=1,AM38,0)</f>
        <v/>
      </c>
      <c r="AN39" s="122">
        <f>IF(AN$9=1,AN38,0)</f>
        <v/>
      </c>
      <c r="AO39" s="122">
        <f>IF(AO$9=1,AO38,0)</f>
        <v/>
      </c>
      <c r="AP39" s="122">
        <f>IF(AP$9=1,AP38,0)</f>
        <v/>
      </c>
      <c r="AQ39" s="120">
        <f>SUM(AG39:AP39)</f>
        <v/>
      </c>
    </row>
    <row r="40" ht="21.75" customHeight="1" s="59">
      <c r="C40" s="51" t="n"/>
      <c r="D40" s="95" t="n"/>
      <c r="E40" s="95" t="n"/>
      <c r="F40" s="95" t="n"/>
      <c r="G40" s="95" t="n"/>
      <c r="H40" s="95" t="n"/>
      <c r="I40" s="95" t="n"/>
      <c r="J40" s="95" t="n"/>
      <c r="K40" s="95" t="n"/>
      <c r="L40" s="95" t="n"/>
      <c r="M40" s="95" t="n"/>
      <c r="N40" s="95" t="n"/>
      <c r="O40" s="95" t="n"/>
      <c r="P40" s="95" t="n"/>
      <c r="Q40" s="95" t="n"/>
      <c r="R40" s="95" t="n"/>
      <c r="S40" s="95" t="n"/>
      <c r="U40" s="35" t="n"/>
      <c r="Y40" s="122" t="inlineStr">
        <is>
          <t>D</t>
        </is>
      </c>
      <c r="Z40" s="122" t="inlineStr">
        <is>
          <t>E</t>
        </is>
      </c>
      <c r="AA40" s="122" t="inlineStr">
        <is>
          <t>F</t>
        </is>
      </c>
      <c r="AB40" s="122" t="inlineStr">
        <is>
          <t>G</t>
        </is>
      </c>
      <c r="AC40" s="122" t="inlineStr">
        <is>
          <t>H</t>
        </is>
      </c>
      <c r="AD40" s="122" t="inlineStr">
        <is>
          <t>I</t>
        </is>
      </c>
      <c r="AE40" s="122" t="inlineStr">
        <is>
          <t>Total</t>
        </is>
      </c>
      <c r="AF40" s="122" t="n"/>
      <c r="AG40" s="122" t="inlineStr">
        <is>
          <t>Very or somewhat aligned</t>
        </is>
      </c>
      <c r="AH40" s="122" t="n"/>
      <c r="AI40" s="122" t="n"/>
      <c r="AJ40" s="122" t="n"/>
      <c r="AK40" s="122" t="n"/>
      <c r="AL40" s="122" t="n"/>
      <c r="AM40" s="122" t="n"/>
      <c r="AN40" s="122" t="n"/>
      <c r="AO40" s="122" t="n"/>
      <c r="AP40" s="122" t="n"/>
      <c r="AQ40" s="122" t="n"/>
    </row>
    <row r="41" hidden="1" outlineLevel="1" ht="24.9" customHeight="1" s="59" thickBot="1" thickTop="1">
      <c r="B41" s="189" t="inlineStr">
        <is>
          <t>FRRR (Foundation for Rural &amp; Regional Renewal)</t>
        </is>
      </c>
      <c r="C41" s="47" t="inlineStr">
        <is>
          <t>Alignment
(dropdown menu):</t>
        </is>
      </c>
      <c r="D41" s="24" t="inlineStr">
        <is>
          <t>Very Aligned</t>
        </is>
      </c>
      <c r="E41" s="24" t="inlineStr">
        <is>
          <t>Very Aligned</t>
        </is>
      </c>
      <c r="F41" s="24" t="inlineStr">
        <is>
          <t>Very Aligned</t>
        </is>
      </c>
      <c r="G41" s="24" t="inlineStr">
        <is>
          <t>Very Aligned</t>
        </is>
      </c>
      <c r="H41" s="24" t="inlineStr">
        <is>
          <t>Very Aligned</t>
        </is>
      </c>
      <c r="I41" s="24" t="inlineStr">
        <is>
          <t>Very Aligned</t>
        </is>
      </c>
      <c r="J41" s="24" t="inlineStr">
        <is>
          <t>Very Aligned</t>
        </is>
      </c>
      <c r="K41" s="24" t="inlineStr">
        <is>
          <t>Very Aligned</t>
        </is>
      </c>
      <c r="L41" s="24" t="inlineStr">
        <is>
          <t>Very Aligned</t>
        </is>
      </c>
      <c r="M41" s="24" t="inlineStr">
        <is>
          <t>Very Aligned</t>
        </is>
      </c>
      <c r="N41" s="24" t="inlineStr">
        <is>
          <t>Very Aligned</t>
        </is>
      </c>
      <c r="O41" s="24" t="inlineStr">
        <is>
          <t>Somewhat Aligned</t>
        </is>
      </c>
      <c r="P41" s="24" t="inlineStr">
        <is>
          <t>Somewhat Aligned</t>
        </is>
      </c>
      <c r="Q41" s="24" t="inlineStr">
        <is>
          <t>Somewhat Aligned</t>
        </is>
      </c>
      <c r="R41" s="24" t="inlineStr">
        <is>
          <t>Somewhat Aligned</t>
        </is>
      </c>
      <c r="S41" s="25" t="inlineStr">
        <is>
          <t>Somewhat Aligned</t>
        </is>
      </c>
      <c r="U41" s="155">
        <f>IF(AE41=6,"Yes","No")</f>
        <v/>
      </c>
      <c r="V41" s="156">
        <f>CONCATENATE(AQ42,"/", AQ15)</f>
        <v/>
      </c>
      <c r="W41" s="156">
        <f>CONCATENATE(AQ41,"/", "10")</f>
        <v/>
      </c>
      <c r="Y41" s="122">
        <f>IF(OR(D41=Dropdowns!$B$1,D41=Dropdowns!$B$2),1,0)</f>
        <v/>
      </c>
      <c r="Z41" s="122">
        <f>IF(OR(E41=Dropdowns!$B$1,E41=Dropdowns!$B$2),1,0)</f>
        <v/>
      </c>
      <c r="AA41" s="122">
        <f>IF(OR(F41=Dropdowns!$B$1,F41=Dropdowns!$B$2),1,0)</f>
        <v/>
      </c>
      <c r="AB41" s="122">
        <f>IF(OR(G41=Dropdowns!$B$1,G41=Dropdowns!$B$2),1,0)</f>
        <v/>
      </c>
      <c r="AC41" s="122">
        <f>IF(OR(H41=Dropdowns!$B$1,H41=Dropdowns!$B$2),1,0)</f>
        <v/>
      </c>
      <c r="AD41" s="122">
        <f>IF(OR(I41=Dropdowns!$B$1,I41=Dropdowns!$B$2),1,0)</f>
        <v/>
      </c>
      <c r="AE41" s="122">
        <f>SUM(Y41:AD41)</f>
        <v/>
      </c>
      <c r="AF41" s="122" t="n"/>
      <c r="AG41" s="122">
        <f>IF(OR(J41=Dropdowns!$B$1,J41=Dropdowns!$B$2),1,0)</f>
        <v/>
      </c>
      <c r="AH41" s="122">
        <f>IF(OR(K41=Dropdowns!$B$1,K41=Dropdowns!$B$2),1,0)</f>
        <v/>
      </c>
      <c r="AI41" s="122">
        <f>IF(OR(L41=Dropdowns!$B$1,L41=Dropdowns!$B$2),1,0)</f>
        <v/>
      </c>
      <c r="AJ41" s="122">
        <f>IF(OR(M41=Dropdowns!$B$1,M41=Dropdowns!$B$2),1,0)</f>
        <v/>
      </c>
      <c r="AK41" s="122">
        <f>IF(OR(N41=Dropdowns!$B$1,N41=Dropdowns!$B$2),1,0)</f>
        <v/>
      </c>
      <c r="AL41" s="122">
        <f>IF(OR(O41=Dropdowns!$B$1,O41=Dropdowns!$B$2),1,0)</f>
        <v/>
      </c>
      <c r="AM41" s="122">
        <f>IF(OR(P41=Dropdowns!$B$1,P41=Dropdowns!$B$2),1,0)</f>
        <v/>
      </c>
      <c r="AN41" s="122">
        <f>IF(OR(Q41=Dropdowns!$B$1,Q41=Dropdowns!$B$2),1,0)</f>
        <v/>
      </c>
      <c r="AO41" s="122">
        <f>IF(OR(R41=Dropdowns!$B$1,R41=Dropdowns!$B$2),1,0)</f>
        <v/>
      </c>
      <c r="AP41" s="122">
        <f>IF(OR(S41=Dropdowns!$B$1,S41=Dropdowns!$B$2),1,0)</f>
        <v/>
      </c>
      <c r="AQ41" s="120">
        <f>SUM(AG41:AP41)</f>
        <v/>
      </c>
    </row>
    <row r="42" hidden="1" outlineLevel="1" ht="65.09999999999999" customHeight="1" s="59" thickBot="1" thickTop="1">
      <c r="B42" s="187" t="n"/>
      <c r="C42" s="48" t="inlineStr">
        <is>
          <t>Notes/comments on investor alignment:</t>
        </is>
      </c>
      <c r="D42" s="26" t="inlineStr">
        <is>
          <t>Received AU$50K Backing the Future (joint with VFFF — ONE grant, not two); Palm Island acquittal complete Mar 2026. Already a QBE Local Division Partnership -&gt; may be receptive to a coordinated second ask.</t>
        </is>
      </c>
      <c r="E42" s="26" t="n"/>
      <c r="F42" s="26" t="n"/>
      <c r="G42" s="26" t="n"/>
      <c r="H42" s="26" t="n"/>
      <c r="I42" s="26" t="n"/>
      <c r="J42" s="26" t="n"/>
      <c r="K42" s="26" t="n"/>
      <c r="L42" s="26" t="n"/>
      <c r="M42" s="26" t="n"/>
      <c r="N42" s="26" t="n"/>
      <c r="O42" s="26" t="n"/>
      <c r="P42" s="26" t="n"/>
      <c r="Q42" s="26" t="n"/>
      <c r="R42" s="26" t="n"/>
      <c r="S42" s="27" t="n"/>
      <c r="U42" s="188" t="n"/>
      <c r="V42" s="188" t="n"/>
      <c r="W42" s="188" t="n"/>
      <c r="Y42" s="122" t="n"/>
      <c r="Z42" s="122" t="n"/>
      <c r="AA42" s="122" t="n"/>
      <c r="AB42" s="122" t="n"/>
      <c r="AC42" s="122" t="n"/>
      <c r="AD42" s="122" t="n"/>
      <c r="AE42" s="122" t="n"/>
      <c r="AF42" s="122" t="n"/>
      <c r="AG42" s="122">
        <f>IF(AG$9=1,AG41,0)</f>
        <v/>
      </c>
      <c r="AH42" s="122">
        <f>IF(AH$9=1,AH41,0)</f>
        <v/>
      </c>
      <c r="AI42" s="122">
        <f>IF(AI$9=1,AI41,0)</f>
        <v/>
      </c>
      <c r="AJ42" s="122">
        <f>IF(AJ$9=1,AJ41,0)</f>
        <v/>
      </c>
      <c r="AK42" s="122">
        <f>IF(AK$9=1,AK41,0)</f>
        <v/>
      </c>
      <c r="AL42" s="122">
        <f>IF(AL$9=1,AL41,0)</f>
        <v/>
      </c>
      <c r="AM42" s="122">
        <f>IF(AM$9=1,AM41,0)</f>
        <v/>
      </c>
      <c r="AN42" s="122">
        <f>IF(AN$9=1,AN41,0)</f>
        <v/>
      </c>
      <c r="AO42" s="122">
        <f>IF(AO$9=1,AO41,0)</f>
        <v/>
      </c>
      <c r="AP42" s="122">
        <f>IF(AP$9=1,AP41,0)</f>
        <v/>
      </c>
      <c r="AQ42" s="120">
        <f>SUM(AG42:AP42)</f>
        <v/>
      </c>
    </row>
    <row r="43" hidden="1" outlineLevel="1" ht="6" customHeight="1" s="59" thickBot="1">
      <c r="C43" s="51" t="n"/>
      <c r="D43" s="95" t="n"/>
      <c r="E43" s="95" t="n"/>
      <c r="F43" s="95" t="n"/>
      <c r="G43" s="95" t="n"/>
      <c r="H43" s="95" t="n"/>
      <c r="I43" s="95" t="n"/>
      <c r="J43" s="95" t="n"/>
      <c r="K43" s="95" t="n"/>
      <c r="L43" s="95" t="n"/>
      <c r="M43" s="95" t="n"/>
      <c r="N43" s="95" t="n"/>
      <c r="O43" s="95" t="n"/>
      <c r="P43" s="95" t="n"/>
      <c r="Q43" s="95" t="n"/>
      <c r="R43" s="95" t="n"/>
      <c r="S43" s="95" t="n"/>
      <c r="U43" s="35" t="n"/>
      <c r="Y43" s="122" t="inlineStr">
        <is>
          <t>D</t>
        </is>
      </c>
      <c r="Z43" s="122" t="inlineStr">
        <is>
          <t>E</t>
        </is>
      </c>
      <c r="AA43" s="122" t="inlineStr">
        <is>
          <t>F</t>
        </is>
      </c>
      <c r="AB43" s="122" t="inlineStr">
        <is>
          <t>G</t>
        </is>
      </c>
      <c r="AC43" s="122" t="inlineStr">
        <is>
          <t>H</t>
        </is>
      </c>
      <c r="AD43" s="122" t="inlineStr">
        <is>
          <t>I</t>
        </is>
      </c>
      <c r="AE43" s="122" t="inlineStr">
        <is>
          <t>Total</t>
        </is>
      </c>
      <c r="AF43" s="122" t="n"/>
      <c r="AG43" s="122" t="inlineStr">
        <is>
          <t>Very or somewhat aligned</t>
        </is>
      </c>
      <c r="AH43" s="122" t="n"/>
      <c r="AI43" s="122" t="n"/>
      <c r="AJ43" s="122" t="n"/>
      <c r="AK43" s="122" t="n"/>
      <c r="AL43" s="122" t="n"/>
      <c r="AM43" s="122" t="n"/>
      <c r="AN43" s="122" t="n"/>
      <c r="AO43" s="122" t="n"/>
      <c r="AP43" s="122" t="n"/>
      <c r="AQ43" s="122" t="n"/>
    </row>
    <row r="44" hidden="1" outlineLevel="1" ht="24.9" customHeight="1" s="59" thickBot="1" thickTop="1">
      <c r="B44" s="189" t="inlineStr">
        <is>
          <t>VFFF (Vincent Fairfax Family Foundation)</t>
        </is>
      </c>
      <c r="C44" s="47" t="inlineStr">
        <is>
          <t>Alignment
(dropdown menu):</t>
        </is>
      </c>
      <c r="D44" s="24" t="inlineStr">
        <is>
          <t>Very Aligned</t>
        </is>
      </c>
      <c r="E44" s="24" t="inlineStr">
        <is>
          <t>Very Aligned</t>
        </is>
      </c>
      <c r="F44" s="24" t="inlineStr">
        <is>
          <t>Very Aligned</t>
        </is>
      </c>
      <c r="G44" s="24" t="inlineStr">
        <is>
          <t>Very Aligned</t>
        </is>
      </c>
      <c r="H44" s="24" t="inlineStr">
        <is>
          <t>Very Aligned</t>
        </is>
      </c>
      <c r="I44" s="24" t="inlineStr">
        <is>
          <t>Very Aligned</t>
        </is>
      </c>
      <c r="J44" s="24" t="inlineStr">
        <is>
          <t>Very Aligned</t>
        </is>
      </c>
      <c r="K44" s="24" t="inlineStr">
        <is>
          <t>Very Aligned</t>
        </is>
      </c>
      <c r="L44" s="24" t="inlineStr">
        <is>
          <t>Very Aligned</t>
        </is>
      </c>
      <c r="M44" s="24" t="inlineStr">
        <is>
          <t>Very Aligned</t>
        </is>
      </c>
      <c r="N44" s="24" t="inlineStr">
        <is>
          <t>Very Aligned</t>
        </is>
      </c>
      <c r="O44" s="24" t="inlineStr">
        <is>
          <t>Somewhat Aligned</t>
        </is>
      </c>
      <c r="P44" s="24" t="inlineStr">
        <is>
          <t>Somewhat Aligned</t>
        </is>
      </c>
      <c r="Q44" s="24" t="inlineStr">
        <is>
          <t>Don't Know</t>
        </is>
      </c>
      <c r="R44" s="24" t="inlineStr">
        <is>
          <t>Somewhat Aligned</t>
        </is>
      </c>
      <c r="S44" s="25" t="inlineStr">
        <is>
          <t>Somewhat Aligned</t>
        </is>
      </c>
      <c r="U44" s="155">
        <f>IF(AE44=6,"Yes","No")</f>
        <v/>
      </c>
      <c r="V44" s="156">
        <f>CONCATENATE(AQ45,"/", AQ18)</f>
        <v/>
      </c>
      <c r="W44" s="156">
        <f>CONCATENATE(AQ44,"/", "10")</f>
        <v/>
      </c>
      <c r="Y44" s="122">
        <f>IF(OR(D44=Dropdowns!$B$1,D44=Dropdowns!$B$2),1,0)</f>
        <v/>
      </c>
      <c r="Z44" s="122">
        <f>IF(OR(E44=Dropdowns!$B$1,E44=Dropdowns!$B$2),1,0)</f>
        <v/>
      </c>
      <c r="AA44" s="122">
        <f>IF(OR(F44=Dropdowns!$B$1,F44=Dropdowns!$B$2),1,0)</f>
        <v/>
      </c>
      <c r="AB44" s="122">
        <f>IF(OR(G44=Dropdowns!$B$1,G44=Dropdowns!$B$2),1,0)</f>
        <v/>
      </c>
      <c r="AC44" s="122">
        <f>IF(OR(H44=Dropdowns!$B$1,H44=Dropdowns!$B$2),1,0)</f>
        <v/>
      </c>
      <c r="AD44" s="122">
        <f>IF(OR(I44=Dropdowns!$B$1,I44=Dropdowns!$B$2),1,0)</f>
        <v/>
      </c>
      <c r="AE44" s="122">
        <f>SUM(Y44:AD44)</f>
        <v/>
      </c>
      <c r="AF44" s="122" t="n"/>
      <c r="AG44" s="122">
        <f>IF(OR(J44=Dropdowns!$B$1,J44=Dropdowns!$B$2),1,0)</f>
        <v/>
      </c>
      <c r="AH44" s="122">
        <f>IF(OR(K44=Dropdowns!$B$1,K44=Dropdowns!$B$2),1,0)</f>
        <v/>
      </c>
      <c r="AI44" s="122">
        <f>IF(OR(L44=Dropdowns!$B$1,L44=Dropdowns!$B$2),1,0)</f>
        <v/>
      </c>
      <c r="AJ44" s="122">
        <f>IF(OR(M44=Dropdowns!$B$1,M44=Dropdowns!$B$2),1,0)</f>
        <v/>
      </c>
      <c r="AK44" s="122">
        <f>IF(OR(N44=Dropdowns!$B$1,N44=Dropdowns!$B$2),1,0)</f>
        <v/>
      </c>
      <c r="AL44" s="122">
        <f>IF(OR(O44=Dropdowns!$B$1,O44=Dropdowns!$B$2),1,0)</f>
        <v/>
      </c>
      <c r="AM44" s="122">
        <f>IF(OR(P44=Dropdowns!$B$1,P44=Dropdowns!$B$2),1,0)</f>
        <v/>
      </c>
      <c r="AN44" s="122">
        <f>IF(OR(Q44=Dropdowns!$B$1,Q44=Dropdowns!$B$2),1,0)</f>
        <v/>
      </c>
      <c r="AO44" s="122">
        <f>IF(OR(R44=Dropdowns!$B$1,R44=Dropdowns!$B$2),1,0)</f>
        <v/>
      </c>
      <c r="AP44" s="122">
        <f>IF(OR(S44=Dropdowns!$B$1,S44=Dropdowns!$B$2),1,0)</f>
        <v/>
      </c>
      <c r="AQ44" s="120">
        <f>SUM(AG44:AP44)</f>
        <v/>
      </c>
    </row>
    <row r="45" hidden="1" outlineLevel="1" ht="65.09999999999999" customHeight="1" s="59" thickBot="1" thickTop="1">
      <c r="B45" s="187" t="n"/>
      <c r="C45" s="48" t="inlineStr">
        <is>
          <t>Notes/comments on investor alignment:</t>
        </is>
      </c>
      <c r="D45" s="26" t="inlineStr">
        <is>
          <t>Co-funder of the AU$50K Backing the Future grant (FRRR administers). Explore a Round 2 in the philanthropic layer.</t>
        </is>
      </c>
      <c r="E45" s="26" t="n"/>
      <c r="F45" s="26" t="n"/>
      <c r="G45" s="26" t="n"/>
      <c r="H45" s="26" t="n"/>
      <c r="I45" s="26" t="n"/>
      <c r="J45" s="26" t="n"/>
      <c r="K45" s="26" t="n"/>
      <c r="L45" s="26" t="n"/>
      <c r="M45" s="26" t="n"/>
      <c r="N45" s="26" t="n"/>
      <c r="O45" s="26" t="n"/>
      <c r="P45" s="26" t="n"/>
      <c r="Q45" s="26" t="n"/>
      <c r="R45" s="26" t="n"/>
      <c r="S45" s="27" t="n"/>
      <c r="U45" s="188" t="n"/>
      <c r="V45" s="188" t="n"/>
      <c r="W45" s="188" t="n"/>
      <c r="Y45" s="122" t="n"/>
      <c r="Z45" s="122" t="n"/>
      <c r="AA45" s="122" t="n"/>
      <c r="AB45" s="122" t="n"/>
      <c r="AC45" s="122" t="n"/>
      <c r="AD45" s="122" t="n"/>
      <c r="AE45" s="122" t="n"/>
      <c r="AF45" s="122" t="n"/>
      <c r="AG45" s="122">
        <f>IF(AG$9=1,AG44,0)</f>
        <v/>
      </c>
      <c r="AH45" s="122">
        <f>IF(AH$9=1,AH44,0)</f>
        <v/>
      </c>
      <c r="AI45" s="122">
        <f>IF(AI$9=1,AI44,0)</f>
        <v/>
      </c>
      <c r="AJ45" s="122">
        <f>IF(AJ$9=1,AJ44,0)</f>
        <v/>
      </c>
      <c r="AK45" s="122">
        <f>IF(AK$9=1,AK44,0)</f>
        <v/>
      </c>
      <c r="AL45" s="122">
        <f>IF(AL$9=1,AL44,0)</f>
        <v/>
      </c>
      <c r="AM45" s="122">
        <f>IF(AM$9=1,AM44,0)</f>
        <v/>
      </c>
      <c r="AN45" s="122">
        <f>IF(AN$9=1,AN44,0)</f>
        <v/>
      </c>
      <c r="AO45" s="122">
        <f>IF(AO$9=1,AO44,0)</f>
        <v/>
      </c>
      <c r="AP45" s="122">
        <f>IF(AP$9=1,AP44,0)</f>
        <v/>
      </c>
      <c r="AQ45" s="120">
        <f>SUM(AG45:AP45)</f>
        <v/>
      </c>
    </row>
    <row r="46" hidden="1" outlineLevel="1" ht="6" customHeight="1" s="59" thickBot="1">
      <c r="C46" s="51" t="n"/>
      <c r="D46" s="95" t="n"/>
      <c r="E46" s="95" t="n"/>
      <c r="F46" s="95" t="n"/>
      <c r="G46" s="95" t="n"/>
      <c r="H46" s="95" t="n"/>
      <c r="I46" s="95" t="n"/>
      <c r="J46" s="95" t="n"/>
      <c r="K46" s="95" t="n"/>
      <c r="L46" s="95" t="n"/>
      <c r="M46" s="95" t="n"/>
      <c r="N46" s="95" t="n"/>
      <c r="O46" s="95" t="n"/>
      <c r="P46" s="95" t="n"/>
      <c r="Q46" s="95" t="n"/>
      <c r="R46" s="95" t="n"/>
      <c r="S46" s="95" t="n"/>
      <c r="U46" s="35" t="n"/>
      <c r="Y46" s="122" t="inlineStr">
        <is>
          <t>D</t>
        </is>
      </c>
      <c r="Z46" s="122" t="inlineStr">
        <is>
          <t>E</t>
        </is>
      </c>
      <c r="AA46" s="122" t="inlineStr">
        <is>
          <t>F</t>
        </is>
      </c>
      <c r="AB46" s="122" t="inlineStr">
        <is>
          <t>G</t>
        </is>
      </c>
      <c r="AC46" s="122" t="inlineStr">
        <is>
          <t>H</t>
        </is>
      </c>
      <c r="AD46" s="122" t="inlineStr">
        <is>
          <t>I</t>
        </is>
      </c>
      <c r="AE46" s="122" t="inlineStr">
        <is>
          <t>Total</t>
        </is>
      </c>
      <c r="AF46" s="122" t="n"/>
      <c r="AG46" s="122" t="inlineStr">
        <is>
          <t>Very or somewhat aligned</t>
        </is>
      </c>
      <c r="AH46" s="122" t="n"/>
      <c r="AI46" s="122" t="n"/>
      <c r="AJ46" s="122" t="n"/>
      <c r="AK46" s="122" t="n"/>
      <c r="AL46" s="122" t="n"/>
      <c r="AM46" s="122" t="n"/>
      <c r="AN46" s="122" t="n"/>
      <c r="AO46" s="122" t="n"/>
      <c r="AP46" s="122" t="n"/>
      <c r="AQ46" s="122" t="n"/>
    </row>
    <row r="47" hidden="1" outlineLevel="1" ht="24.9" customHeight="1" s="59" thickBot="1" thickTop="1">
      <c r="B47" s="189" t="inlineStr">
        <is>
          <t>AMP Foundation (Spark)</t>
        </is>
      </c>
      <c r="C47" s="47" t="inlineStr">
        <is>
          <t>Alignment
(dropdown menu):</t>
        </is>
      </c>
      <c r="D47" s="24" t="inlineStr">
        <is>
          <t>Don't Know</t>
        </is>
      </c>
      <c r="E47" s="24" t="inlineStr">
        <is>
          <t>Very Aligned</t>
        </is>
      </c>
      <c r="F47" s="24" t="inlineStr">
        <is>
          <t>Don't Know</t>
        </is>
      </c>
      <c r="G47" s="24" t="inlineStr">
        <is>
          <t>Very Aligned</t>
        </is>
      </c>
      <c r="H47" s="24" t="inlineStr">
        <is>
          <t>Very Aligned</t>
        </is>
      </c>
      <c r="I47" s="24" t="inlineStr">
        <is>
          <t>Don't Know</t>
        </is>
      </c>
      <c r="J47" s="24" t="inlineStr">
        <is>
          <t>Somewhat Aligned</t>
        </is>
      </c>
      <c r="K47" s="24" t="inlineStr">
        <is>
          <t>Somewhat Aligned</t>
        </is>
      </c>
      <c r="L47" s="24" t="inlineStr">
        <is>
          <t>Very Aligned</t>
        </is>
      </c>
      <c r="M47" s="24" t="inlineStr">
        <is>
          <t>Somewhat Aligned</t>
        </is>
      </c>
      <c r="N47" s="24" t="inlineStr">
        <is>
          <t>Somewhat Aligned</t>
        </is>
      </c>
      <c r="O47" s="24" t="inlineStr">
        <is>
          <t>Somewhat Aligned</t>
        </is>
      </c>
      <c r="P47" s="24" t="inlineStr">
        <is>
          <t>Don't Know</t>
        </is>
      </c>
      <c r="Q47" s="24" t="inlineStr">
        <is>
          <t>Don't Know</t>
        </is>
      </c>
      <c r="R47" s="24" t="inlineStr">
        <is>
          <t>Don't Know</t>
        </is>
      </c>
      <c r="S47" s="25" t="inlineStr">
        <is>
          <t>Somewhat Aligned</t>
        </is>
      </c>
      <c r="U47" s="155">
        <f>IF(AE47=6,"Yes","No")</f>
        <v/>
      </c>
      <c r="V47" s="156">
        <f>CONCATENATE(AQ48,"/", AQ21)</f>
        <v/>
      </c>
      <c r="W47" s="156">
        <f>CONCATENATE(AQ47,"/", "10")</f>
        <v/>
      </c>
      <c r="Y47" s="122">
        <f>IF(OR(D47=Dropdowns!$B$1,D47=Dropdowns!$B$2),1,0)</f>
        <v/>
      </c>
      <c r="Z47" s="122">
        <f>IF(OR(E47=Dropdowns!$B$1,E47=Dropdowns!$B$2),1,0)</f>
        <v/>
      </c>
      <c r="AA47" s="122">
        <f>IF(OR(F47=Dropdowns!$B$1,F47=Dropdowns!$B$2),1,0)</f>
        <v/>
      </c>
      <c r="AB47" s="122">
        <f>IF(OR(G47=Dropdowns!$B$1,G47=Dropdowns!$B$2),1,0)</f>
        <v/>
      </c>
      <c r="AC47" s="122">
        <f>IF(OR(H47=Dropdowns!$B$1,H47=Dropdowns!$B$2),1,0)</f>
        <v/>
      </c>
      <c r="AD47" s="122">
        <f>IF(OR(I47=Dropdowns!$B$1,I47=Dropdowns!$B$2),1,0)</f>
        <v/>
      </c>
      <c r="AE47" s="122">
        <f>SUM(Y47:AD47)</f>
        <v/>
      </c>
      <c r="AF47" s="122" t="n"/>
      <c r="AG47" s="122">
        <f>IF(OR(J47=Dropdowns!$B$1,J47=Dropdowns!$B$2),1,0)</f>
        <v/>
      </c>
      <c r="AH47" s="122">
        <f>IF(OR(K47=Dropdowns!$B$1,K47=Dropdowns!$B$2),1,0)</f>
        <v/>
      </c>
      <c r="AI47" s="122">
        <f>IF(OR(L47=Dropdowns!$B$1,L47=Dropdowns!$B$2),1,0)</f>
        <v/>
      </c>
      <c r="AJ47" s="122">
        <f>IF(OR(M47=Dropdowns!$B$1,M47=Dropdowns!$B$2),1,0)</f>
        <v/>
      </c>
      <c r="AK47" s="122">
        <f>IF(OR(N47=Dropdowns!$B$1,N47=Dropdowns!$B$2),1,0)</f>
        <v/>
      </c>
      <c r="AL47" s="122">
        <f>IF(OR(O47=Dropdowns!$B$1,O47=Dropdowns!$B$2),1,0)</f>
        <v/>
      </c>
      <c r="AM47" s="122">
        <f>IF(OR(P47=Dropdowns!$B$1,P47=Dropdowns!$B$2),1,0)</f>
        <v/>
      </c>
      <c r="AN47" s="122">
        <f>IF(OR(Q47=Dropdowns!$B$1,Q47=Dropdowns!$B$2),1,0)</f>
        <v/>
      </c>
      <c r="AO47" s="122">
        <f>IF(OR(R47=Dropdowns!$B$1,R47=Dropdowns!$B$2),1,0)</f>
        <v/>
      </c>
      <c r="AP47" s="122">
        <f>IF(OR(S47=Dropdowns!$B$1,S47=Dropdowns!$B$2),1,0)</f>
        <v/>
      </c>
      <c r="AQ47" s="120">
        <f>SUM(AG47:AP47)</f>
        <v/>
      </c>
    </row>
    <row r="48" hidden="1" outlineLevel="1" ht="65.09999999999999" customHeight="1" s="59" thickBot="1" thickTop="1">
      <c r="B48" s="187" t="n"/>
      <c r="C48" s="48" t="inlineStr">
        <is>
          <t>Notes/comments on investor alignment:</t>
        </is>
      </c>
      <c r="D48" s="26" t="inlineStr">
        <is>
          <t>Received AU$21.9K Spark innovation grant (Jun 2024). Thin profile: no stated geography / ticket / stage focus for a follow-on -&gt; Don't Know on those knockouts. Warm credentialing relationship, not a core target.</t>
        </is>
      </c>
      <c r="E48" s="26" t="n"/>
      <c r="F48" s="26" t="n"/>
      <c r="G48" s="26" t="n"/>
      <c r="H48" s="26" t="n"/>
      <c r="I48" s="26" t="n"/>
      <c r="J48" s="26" t="n"/>
      <c r="K48" s="26" t="n"/>
      <c r="L48" s="26" t="n"/>
      <c r="M48" s="26" t="n"/>
      <c r="N48" s="26" t="n"/>
      <c r="O48" s="26" t="n"/>
      <c r="P48" s="26" t="n"/>
      <c r="Q48" s="26" t="n"/>
      <c r="R48" s="26" t="n"/>
      <c r="S48" s="27" t="n"/>
      <c r="U48" s="188" t="n"/>
      <c r="V48" s="188" t="n"/>
      <c r="W48" s="188" t="n"/>
      <c r="Y48" s="122" t="n"/>
      <c r="Z48" s="122" t="n"/>
      <c r="AA48" s="122" t="n"/>
      <c r="AB48" s="122" t="n"/>
      <c r="AC48" s="122" t="n"/>
      <c r="AD48" s="122" t="n"/>
      <c r="AE48" s="122" t="n"/>
      <c r="AF48" s="122" t="n"/>
      <c r="AG48" s="122">
        <f>IF(AG$9=1,AG47,0)</f>
        <v/>
      </c>
      <c r="AH48" s="122">
        <f>IF(AH$9=1,AH47,0)</f>
        <v/>
      </c>
      <c r="AI48" s="122">
        <f>IF(AI$9=1,AI47,0)</f>
        <v/>
      </c>
      <c r="AJ48" s="122">
        <f>IF(AJ$9=1,AJ47,0)</f>
        <v/>
      </c>
      <c r="AK48" s="122">
        <f>IF(AK$9=1,AK47,0)</f>
        <v/>
      </c>
      <c r="AL48" s="122">
        <f>IF(AL$9=1,AL47,0)</f>
        <v/>
      </c>
      <c r="AM48" s="122">
        <f>IF(AM$9=1,AM47,0)</f>
        <v/>
      </c>
      <c r="AN48" s="122">
        <f>IF(AN$9=1,AN47,0)</f>
        <v/>
      </c>
      <c r="AO48" s="122">
        <f>IF(AO$9=1,AO47,0)</f>
        <v/>
      </c>
      <c r="AP48" s="122">
        <f>IF(AP$9=1,AP47,0)</f>
        <v/>
      </c>
      <c r="AQ48" s="120">
        <f>SUM(AG48:AP48)</f>
        <v/>
      </c>
    </row>
    <row r="49" hidden="1" outlineLevel="1" ht="6" customHeight="1" s="59" thickBot="1">
      <c r="C49" s="51" t="n"/>
      <c r="D49" s="95" t="n"/>
      <c r="E49" s="95" t="n"/>
      <c r="F49" s="95" t="n"/>
      <c r="G49" s="95" t="n"/>
      <c r="H49" s="95" t="n"/>
      <c r="I49" s="95" t="n"/>
      <c r="J49" s="95" t="n"/>
      <c r="K49" s="95" t="n"/>
      <c r="L49" s="95" t="n"/>
      <c r="M49" s="95" t="n"/>
      <c r="N49" s="95" t="n"/>
      <c r="O49" s="95" t="n"/>
      <c r="P49" s="95" t="n"/>
      <c r="Q49" s="95" t="n"/>
      <c r="R49" s="95" t="n"/>
      <c r="S49" s="95" t="n"/>
      <c r="U49" s="35" t="n"/>
      <c r="Y49" s="122" t="inlineStr">
        <is>
          <t>D</t>
        </is>
      </c>
      <c r="Z49" s="122" t="inlineStr">
        <is>
          <t>E</t>
        </is>
      </c>
      <c r="AA49" s="122" t="inlineStr">
        <is>
          <t>F</t>
        </is>
      </c>
      <c r="AB49" s="122" t="inlineStr">
        <is>
          <t>G</t>
        </is>
      </c>
      <c r="AC49" s="122" t="inlineStr">
        <is>
          <t>H</t>
        </is>
      </c>
      <c r="AD49" s="122" t="inlineStr">
        <is>
          <t>I</t>
        </is>
      </c>
      <c r="AE49" s="122" t="inlineStr">
        <is>
          <t>Total</t>
        </is>
      </c>
      <c r="AF49" s="122" t="n"/>
      <c r="AG49" s="122" t="inlineStr">
        <is>
          <t>Very or somewhat aligned</t>
        </is>
      </c>
      <c r="AH49" s="122" t="n"/>
      <c r="AI49" s="122" t="n"/>
      <c r="AJ49" s="122" t="n"/>
      <c r="AK49" s="122" t="n"/>
      <c r="AL49" s="122" t="n"/>
      <c r="AM49" s="122" t="n"/>
      <c r="AN49" s="122" t="n"/>
      <c r="AO49" s="122" t="n"/>
      <c r="AP49" s="122" t="n"/>
      <c r="AQ49" s="122" t="n"/>
    </row>
    <row r="50" hidden="1" outlineLevel="1" ht="24.9" customHeight="1" s="59" thickBot="1" thickTop="1">
      <c r="B50" s="189" t="inlineStr">
        <is>
          <t>Centrecorp Foundation</t>
        </is>
      </c>
      <c r="C50" s="47" t="inlineStr">
        <is>
          <t>Alignment
(dropdown menu):</t>
        </is>
      </c>
      <c r="D50" s="24" t="inlineStr">
        <is>
          <t>Very Aligned</t>
        </is>
      </c>
      <c r="E50" s="24" t="inlineStr">
        <is>
          <t>Very Aligned</t>
        </is>
      </c>
      <c r="F50" s="24" t="inlineStr">
        <is>
          <t>Very Aligned</t>
        </is>
      </c>
      <c r="G50" s="24" t="inlineStr">
        <is>
          <t>Very Aligned</t>
        </is>
      </c>
      <c r="H50" s="24" t="inlineStr">
        <is>
          <t>Very Aligned</t>
        </is>
      </c>
      <c r="I50" s="24" t="inlineStr">
        <is>
          <t>Very Aligned</t>
        </is>
      </c>
      <c r="J50" s="24" t="inlineStr">
        <is>
          <t>Very Aligned</t>
        </is>
      </c>
      <c r="K50" s="24" t="inlineStr">
        <is>
          <t>Very Aligned</t>
        </is>
      </c>
      <c r="L50" s="24" t="inlineStr">
        <is>
          <t>Somewhat Aligned</t>
        </is>
      </c>
      <c r="M50" s="24" t="inlineStr">
        <is>
          <t>Somewhat Aligned</t>
        </is>
      </c>
      <c r="N50" s="24" t="inlineStr">
        <is>
          <t>Somewhat Aligned</t>
        </is>
      </c>
      <c r="O50" s="24" t="inlineStr">
        <is>
          <t>Somewhat Aligned</t>
        </is>
      </c>
      <c r="P50" s="24" t="inlineStr">
        <is>
          <t>Very Aligned</t>
        </is>
      </c>
      <c r="Q50" s="24" t="inlineStr">
        <is>
          <t>Somewhat Aligned</t>
        </is>
      </c>
      <c r="R50" s="24" t="inlineStr">
        <is>
          <t>Somewhat Aligned</t>
        </is>
      </c>
      <c r="S50" s="25" t="inlineStr">
        <is>
          <t>Very Aligned</t>
        </is>
      </c>
      <c r="U50" s="155">
        <f>IF(AE50=6,"Yes","No")</f>
        <v/>
      </c>
      <c r="V50" s="156">
        <f>CONCATENATE(AQ51,"/", AQ24)</f>
        <v/>
      </c>
      <c r="W50" s="156">
        <f>CONCATENATE(AQ50,"/", "10")</f>
        <v/>
      </c>
      <c r="Y50" s="122">
        <f>IF(OR(D50=Dropdowns!$B$1,D50=Dropdowns!$B$2),1,0)</f>
        <v/>
      </c>
      <c r="Z50" s="122">
        <f>IF(OR(E50=Dropdowns!$B$1,E50=Dropdowns!$B$2),1,0)</f>
        <v/>
      </c>
      <c r="AA50" s="122">
        <f>IF(OR(F50=Dropdowns!$B$1,F50=Dropdowns!$B$2),1,0)</f>
        <v/>
      </c>
      <c r="AB50" s="122">
        <f>IF(OR(G50=Dropdowns!$B$1,G50=Dropdowns!$B$2),1,0)</f>
        <v/>
      </c>
      <c r="AC50" s="122">
        <f>IF(OR(H50=Dropdowns!$B$1,H50=Dropdowns!$B$2),1,0)</f>
        <v/>
      </c>
      <c r="AD50" s="122">
        <f>IF(OR(I50=Dropdowns!$B$1,I50=Dropdowns!$B$2),1,0)</f>
        <v/>
      </c>
      <c r="AE50" s="122">
        <f>SUM(Y50:AD50)</f>
        <v/>
      </c>
      <c r="AF50" s="122" t="n"/>
      <c r="AG50" s="122">
        <f>IF(OR(J50=Dropdowns!$B$1,J50=Dropdowns!$B$2),1,0)</f>
        <v/>
      </c>
      <c r="AH50" s="122">
        <f>IF(OR(K50=Dropdowns!$B$1,K50=Dropdowns!$B$2),1,0)</f>
        <v/>
      </c>
      <c r="AI50" s="122">
        <f>IF(OR(L50=Dropdowns!$B$1,L50=Dropdowns!$B$2),1,0)</f>
        <v/>
      </c>
      <c r="AJ50" s="122">
        <f>IF(OR(M50=Dropdowns!$B$1,M50=Dropdowns!$B$2),1,0)</f>
        <v/>
      </c>
      <c r="AK50" s="122">
        <f>IF(OR(N50=Dropdowns!$B$1,N50=Dropdowns!$B$2),1,0)</f>
        <v/>
      </c>
      <c r="AL50" s="122">
        <f>IF(OR(O50=Dropdowns!$B$1,O50=Dropdowns!$B$2),1,0)</f>
        <v/>
      </c>
      <c r="AM50" s="122">
        <f>IF(OR(P50=Dropdowns!$B$1,P50=Dropdowns!$B$2),1,0)</f>
        <v/>
      </c>
      <c r="AN50" s="122">
        <f>IF(OR(Q50=Dropdowns!$B$1,Q50=Dropdowns!$B$2),1,0)</f>
        <v/>
      </c>
      <c r="AO50" s="122">
        <f>IF(OR(R50=Dropdowns!$B$1,R50=Dropdowns!$B$2),1,0)</f>
        <v/>
      </c>
      <c r="AP50" s="122">
        <f>IF(OR(S50=Dropdowns!$B$1,S50=Dropdowns!$B$2),1,0)</f>
        <v/>
      </c>
      <c r="AQ50" s="120">
        <f>SUM(AG50:AP50)</f>
        <v/>
      </c>
    </row>
    <row r="51" hidden="1" outlineLevel="1" ht="65.09999999999999" customHeight="1" s="59" thickBot="1" thickTop="1">
      <c r="B51" s="187" t="n"/>
      <c r="C51" s="48" t="inlineStr">
        <is>
          <t>Notes/comments on investor alignment:</t>
        </is>
      </c>
      <c r="D51" s="26" t="inlineStr">
        <is>
          <t>Buyer-to-capital; ~AU$123,332 paid (entangled w/ voided invoices — do not quote externally). Next round ~130 beds (~AU$106K) to the ~26 June board. Trust-Deed-bound to Central Australia; declined plant + washing-machine asks. QBE match named only as a multiplier (note 09).</t>
        </is>
      </c>
      <c r="E51" s="26" t="n"/>
      <c r="F51" s="26" t="n"/>
      <c r="G51" s="26" t="n"/>
      <c r="H51" s="26" t="n"/>
      <c r="I51" s="26" t="n"/>
      <c r="J51" s="26" t="n"/>
      <c r="K51" s="26" t="n"/>
      <c r="L51" s="26" t="n"/>
      <c r="M51" s="26" t="n"/>
      <c r="N51" s="26" t="n"/>
      <c r="O51" s="26" t="n"/>
      <c r="P51" s="26" t="n"/>
      <c r="Q51" s="26" t="n"/>
      <c r="R51" s="26" t="n"/>
      <c r="S51" s="27" t="n"/>
      <c r="U51" s="188" t="n"/>
      <c r="V51" s="188" t="n"/>
      <c r="W51" s="188" t="n"/>
      <c r="Y51" s="122" t="n"/>
      <c r="Z51" s="122" t="n"/>
      <c r="AA51" s="122" t="n"/>
      <c r="AB51" s="122" t="n"/>
      <c r="AC51" s="122" t="n"/>
      <c r="AD51" s="122" t="n"/>
      <c r="AE51" s="122" t="n"/>
      <c r="AF51" s="122" t="n"/>
      <c r="AG51" s="122">
        <f>IF(AG$9=1,AG50,0)</f>
        <v/>
      </c>
      <c r="AH51" s="122">
        <f>IF(AH$9=1,AH50,0)</f>
        <v/>
      </c>
      <c r="AI51" s="122">
        <f>IF(AI$9=1,AI50,0)</f>
        <v/>
      </c>
      <c r="AJ51" s="122">
        <f>IF(AJ$9=1,AJ50,0)</f>
        <v/>
      </c>
      <c r="AK51" s="122">
        <f>IF(AK$9=1,AK50,0)</f>
        <v/>
      </c>
      <c r="AL51" s="122">
        <f>IF(AL$9=1,AL50,0)</f>
        <v/>
      </c>
      <c r="AM51" s="122">
        <f>IF(AM$9=1,AM50,0)</f>
        <v/>
      </c>
      <c r="AN51" s="122">
        <f>IF(AN$9=1,AN50,0)</f>
        <v/>
      </c>
      <c r="AO51" s="122">
        <f>IF(AO$9=1,AO50,0)</f>
        <v/>
      </c>
      <c r="AP51" s="122">
        <f>IF(AP$9=1,AP50,0)</f>
        <v/>
      </c>
      <c r="AQ51" s="120">
        <f>SUM(AG51:AP51)</f>
        <v/>
      </c>
    </row>
    <row r="52" hidden="1" outlineLevel="1" ht="6" customHeight="1" s="59" thickBot="1">
      <c r="C52" s="51" t="n"/>
      <c r="D52" s="95" t="n"/>
      <c r="E52" s="95" t="n"/>
      <c r="F52" s="95" t="n"/>
      <c r="G52" s="95" t="n"/>
      <c r="H52" s="95" t="n"/>
      <c r="I52" s="95" t="n"/>
      <c r="J52" s="95" t="n"/>
      <c r="K52" s="95" t="n"/>
      <c r="L52" s="95" t="n"/>
      <c r="M52" s="95" t="n"/>
      <c r="N52" s="95" t="n"/>
      <c r="O52" s="95" t="n"/>
      <c r="P52" s="95" t="n"/>
      <c r="Q52" s="95" t="n"/>
      <c r="R52" s="95" t="n"/>
      <c r="S52" s="95" t="n"/>
      <c r="U52" s="35" t="n"/>
      <c r="Y52" s="122" t="inlineStr">
        <is>
          <t>D</t>
        </is>
      </c>
      <c r="Z52" s="122" t="inlineStr">
        <is>
          <t>E</t>
        </is>
      </c>
      <c r="AA52" s="122" t="inlineStr">
        <is>
          <t>F</t>
        </is>
      </c>
      <c r="AB52" s="122" t="inlineStr">
        <is>
          <t>G</t>
        </is>
      </c>
      <c r="AC52" s="122" t="inlineStr">
        <is>
          <t>H</t>
        </is>
      </c>
      <c r="AD52" s="122" t="inlineStr">
        <is>
          <t>I</t>
        </is>
      </c>
      <c r="AE52" s="122" t="inlineStr">
        <is>
          <t>Total</t>
        </is>
      </c>
      <c r="AF52" s="122" t="n"/>
      <c r="AG52" s="122" t="inlineStr">
        <is>
          <t>Very or somewhat aligned</t>
        </is>
      </c>
      <c r="AH52" s="122" t="n"/>
      <c r="AI52" s="122" t="n"/>
      <c r="AJ52" s="122" t="n"/>
      <c r="AK52" s="122" t="n"/>
      <c r="AL52" s="122" t="n"/>
      <c r="AM52" s="122" t="n"/>
      <c r="AN52" s="122" t="n"/>
      <c r="AO52" s="122" t="n"/>
      <c r="AP52" s="122" t="n"/>
      <c r="AQ52" s="122" t="n"/>
    </row>
    <row r="53" hidden="1" outlineLevel="1" ht="24.9" customHeight="1" s="59" thickBot="1" thickTop="1">
      <c r="B53" s="189" t="inlineStr">
        <is>
          <t>QBE Ventures</t>
        </is>
      </c>
      <c r="C53" s="47" t="inlineStr">
        <is>
          <t>Alignment
(dropdown menu):</t>
        </is>
      </c>
      <c r="D53" s="24" t="inlineStr">
        <is>
          <t>Very Aligned</t>
        </is>
      </c>
      <c r="E53" s="24" t="inlineStr">
        <is>
          <t>Not Aligned</t>
        </is>
      </c>
      <c r="F53" s="24" t="inlineStr">
        <is>
          <t>Very Aligned</t>
        </is>
      </c>
      <c r="G53" s="24" t="inlineStr">
        <is>
          <t>Not Aligned</t>
        </is>
      </c>
      <c r="H53" s="24" t="inlineStr">
        <is>
          <t>Not Aligned</t>
        </is>
      </c>
      <c r="I53" s="24" t="inlineStr">
        <is>
          <t>Not Aligned</t>
        </is>
      </c>
      <c r="J53" s="24" t="inlineStr">
        <is>
          <t>Somewhat Aligned</t>
        </is>
      </c>
      <c r="K53" s="24" t="inlineStr">
        <is>
          <t>Don't Know</t>
        </is>
      </c>
      <c r="L53" s="24" t="inlineStr">
        <is>
          <t>Don't Know</t>
        </is>
      </c>
      <c r="M53" s="24" t="inlineStr">
        <is>
          <t>Don't Know</t>
        </is>
      </c>
      <c r="N53" s="24" t="inlineStr">
        <is>
          <t>Somewhat Aligned</t>
        </is>
      </c>
      <c r="O53" s="24" t="inlineStr">
        <is>
          <t>Very Aligned</t>
        </is>
      </c>
      <c r="P53" s="24" t="inlineStr">
        <is>
          <t>Somewhat Aligned</t>
        </is>
      </c>
      <c r="Q53" s="24" t="inlineStr">
        <is>
          <t>Somewhat Aligned</t>
        </is>
      </c>
      <c r="R53" s="24" t="inlineStr">
        <is>
          <t>Somewhat Aligned</t>
        </is>
      </c>
      <c r="S53" s="25" t="inlineStr">
        <is>
          <t>Very Aligned</t>
        </is>
      </c>
      <c r="U53" s="155">
        <f>IF(AE53=6,"Yes","No")</f>
        <v/>
      </c>
      <c r="V53" s="156">
        <f>CONCATENATE(AQ54,"/", AQ27)</f>
        <v/>
      </c>
      <c r="W53" s="156">
        <f>CONCATENATE(AQ53,"/", "10")</f>
        <v/>
      </c>
      <c r="Y53" s="122">
        <f>IF(OR(D53=Dropdowns!$B$1,D53=Dropdowns!$B$2),1,0)</f>
        <v/>
      </c>
      <c r="Z53" s="122">
        <f>IF(OR(E53=Dropdowns!$B$1,E53=Dropdowns!$B$2),1,0)</f>
        <v/>
      </c>
      <c r="AA53" s="122">
        <f>IF(OR(F53=Dropdowns!$B$1,F53=Dropdowns!$B$2),1,0)</f>
        <v/>
      </c>
      <c r="AB53" s="122">
        <f>IF(OR(G53=Dropdowns!$B$1,G53=Dropdowns!$B$2),1,0)</f>
        <v/>
      </c>
      <c r="AC53" s="122">
        <f>IF(OR(H53=Dropdowns!$B$1,H53=Dropdowns!$B$2),1,0)</f>
        <v/>
      </c>
      <c r="AD53" s="122">
        <f>IF(OR(I53=Dropdowns!$B$1,I53=Dropdowns!$B$2),1,0)</f>
        <v/>
      </c>
      <c r="AE53" s="122">
        <f>SUM(Y53:AD53)</f>
        <v/>
      </c>
      <c r="AF53" s="122" t="n"/>
      <c r="AG53" s="122">
        <f>IF(OR(J53=Dropdowns!$B$1,J53=Dropdowns!$B$2),1,0)</f>
        <v/>
      </c>
      <c r="AH53" s="122">
        <f>IF(OR(K53=Dropdowns!$B$1,K53=Dropdowns!$B$2),1,0)</f>
        <v/>
      </c>
      <c r="AI53" s="122">
        <f>IF(OR(L53=Dropdowns!$B$1,L53=Dropdowns!$B$2),1,0)</f>
        <v/>
      </c>
      <c r="AJ53" s="122">
        <f>IF(OR(M53=Dropdowns!$B$1,M53=Dropdowns!$B$2),1,0)</f>
        <v/>
      </c>
      <c r="AK53" s="122">
        <f>IF(OR(N53=Dropdowns!$B$1,N53=Dropdowns!$B$2),1,0)</f>
        <v/>
      </c>
      <c r="AL53" s="122">
        <f>IF(OR(O53=Dropdowns!$B$1,O53=Dropdowns!$B$2),1,0)</f>
        <v/>
      </c>
      <c r="AM53" s="122">
        <f>IF(OR(P53=Dropdowns!$B$1,P53=Dropdowns!$B$2),1,0)</f>
        <v/>
      </c>
      <c r="AN53" s="122">
        <f>IF(OR(Q53=Dropdowns!$B$1,Q53=Dropdowns!$B$2),1,0)</f>
        <v/>
      </c>
      <c r="AO53" s="122">
        <f>IF(OR(R53=Dropdowns!$B$1,R53=Dropdowns!$B$2),1,0)</f>
        <v/>
      </c>
      <c r="AP53" s="122">
        <f>IF(OR(S53=Dropdowns!$B$1,S53=Dropdowns!$B$2),1,0)</f>
        <v/>
      </c>
      <c r="AQ53" s="120">
        <f>SUM(AG53:AP53)</f>
        <v/>
      </c>
    </row>
    <row r="54" hidden="1" outlineLevel="1" ht="65.09999999999999" customHeight="1" s="59" thickBot="1" thickTop="1">
      <c r="B54" s="187" t="n"/>
      <c r="C54" s="48" t="inlineStr">
        <is>
          <t>Notes/comments on investor alignment:</t>
        </is>
      </c>
      <c r="D54" s="26" t="inlineStr">
        <is>
          <t>CVC — KNOCKOUT FAIL. Equity / SAFEs / convertible notes only (Capital Type NOT aligned), equity into eventual CLG/hybrid complex (Structure NOT), AU$5–15M scale-up cheque (Stage NOT), market-rate returns (Return NOT). Lighthouse is the one 2026-compatible door. Re-evaluate 2027.</t>
        </is>
      </c>
      <c r="E54" s="26" t="n"/>
      <c r="F54" s="26" t="n"/>
      <c r="G54" s="26" t="n"/>
      <c r="H54" s="26" t="n"/>
      <c r="I54" s="26" t="n"/>
      <c r="J54" s="26" t="n"/>
      <c r="K54" s="26" t="n"/>
      <c r="L54" s="26" t="n"/>
      <c r="M54" s="26" t="n"/>
      <c r="N54" s="26" t="n"/>
      <c r="O54" s="26" t="n"/>
      <c r="P54" s="26" t="n"/>
      <c r="Q54" s="26" t="n"/>
      <c r="R54" s="26" t="n"/>
      <c r="S54" s="27" t="n"/>
      <c r="U54" s="188" t="n"/>
      <c r="V54" s="188" t="n"/>
      <c r="W54" s="188" t="n"/>
      <c r="Y54" s="122" t="n"/>
      <c r="Z54" s="122" t="n"/>
      <c r="AA54" s="122" t="n"/>
      <c r="AB54" s="122" t="n"/>
      <c r="AC54" s="122" t="n"/>
      <c r="AD54" s="122" t="n"/>
      <c r="AE54" s="122" t="n"/>
      <c r="AF54" s="122" t="n"/>
      <c r="AG54" s="122">
        <f>IF(AG$9=1,AG53,0)</f>
        <v/>
      </c>
      <c r="AH54" s="122">
        <f>IF(AH$9=1,AH53,0)</f>
        <v/>
      </c>
      <c r="AI54" s="122">
        <f>IF(AI$9=1,AI53,0)</f>
        <v/>
      </c>
      <c r="AJ54" s="122">
        <f>IF(AJ$9=1,AJ53,0)</f>
        <v/>
      </c>
      <c r="AK54" s="122">
        <f>IF(AK$9=1,AK53,0)</f>
        <v/>
      </c>
      <c r="AL54" s="122">
        <f>IF(AL$9=1,AL53,0)</f>
        <v/>
      </c>
      <c r="AM54" s="122">
        <f>IF(AM$9=1,AM53,0)</f>
        <v/>
      </c>
      <c r="AN54" s="122">
        <f>IF(AN$9=1,AN53,0)</f>
        <v/>
      </c>
      <c r="AO54" s="122">
        <f>IF(AO$9=1,AO53,0)</f>
        <v/>
      </c>
      <c r="AP54" s="122">
        <f>IF(AP$9=1,AP53,0)</f>
        <v/>
      </c>
      <c r="AQ54" s="120">
        <f>SUM(AG54:AP54)</f>
        <v/>
      </c>
    </row>
    <row r="55" hidden="1" outlineLevel="1" ht="6" customHeight="1" s="59" thickBot="1">
      <c r="C55" s="51" t="n"/>
      <c r="D55" s="95" t="n"/>
      <c r="E55" s="95" t="n"/>
      <c r="F55" s="95" t="n"/>
      <c r="G55" s="95" t="n"/>
      <c r="H55" s="95" t="n"/>
      <c r="I55" s="95" t="n"/>
      <c r="J55" s="95" t="n"/>
      <c r="K55" s="95" t="n"/>
      <c r="L55" s="95" t="n"/>
      <c r="M55" s="95" t="n"/>
      <c r="N55" s="95" t="n"/>
      <c r="O55" s="95" t="n"/>
      <c r="P55" s="95" t="n"/>
      <c r="Q55" s="95" t="n"/>
      <c r="R55" s="95" t="n"/>
      <c r="S55" s="95" t="n"/>
      <c r="U55" s="35" t="n"/>
      <c r="Y55" s="122" t="inlineStr">
        <is>
          <t>D</t>
        </is>
      </c>
      <c r="Z55" s="122" t="inlineStr">
        <is>
          <t>E</t>
        </is>
      </c>
      <c r="AA55" s="122" t="inlineStr">
        <is>
          <t>F</t>
        </is>
      </c>
      <c r="AB55" s="122" t="inlineStr">
        <is>
          <t>G</t>
        </is>
      </c>
      <c r="AC55" s="122" t="inlineStr">
        <is>
          <t>H</t>
        </is>
      </c>
      <c r="AD55" s="122" t="inlineStr">
        <is>
          <t>I</t>
        </is>
      </c>
      <c r="AE55" s="122" t="inlineStr">
        <is>
          <t>Total</t>
        </is>
      </c>
      <c r="AF55" s="122" t="n"/>
      <c r="AG55" s="122" t="inlineStr">
        <is>
          <t>Very or somewhat aligned</t>
        </is>
      </c>
      <c r="AH55" s="122" t="n"/>
      <c r="AI55" s="122" t="n"/>
      <c r="AJ55" s="122" t="n"/>
      <c r="AK55" s="122" t="n"/>
      <c r="AL55" s="122" t="n"/>
      <c r="AM55" s="122" t="n"/>
      <c r="AN55" s="122" t="n"/>
      <c r="AO55" s="122" t="n"/>
      <c r="AP55" s="122" t="n"/>
      <c r="AQ55" s="122" t="n"/>
    </row>
    <row r="56" hidden="1" outlineLevel="1" ht="24.9" customHeight="1" s="59" thickBot="1" thickTop="1">
      <c r="B56" s="189" t="n"/>
      <c r="C56" s="47" t="inlineStr">
        <is>
          <t>Alignment
(dropdown menu):</t>
        </is>
      </c>
      <c r="D56" s="24" t="n"/>
      <c r="E56" s="24" t="n"/>
      <c r="F56" s="24" t="n"/>
      <c r="G56" s="24" t="n"/>
      <c r="H56" s="24" t="n"/>
      <c r="I56" s="24" t="n"/>
      <c r="J56" s="24" t="n"/>
      <c r="K56" s="24" t="n"/>
      <c r="L56" s="24" t="n"/>
      <c r="M56" s="24" t="n"/>
      <c r="N56" s="24" t="n"/>
      <c r="O56" s="24" t="n"/>
      <c r="P56" s="24" t="n"/>
      <c r="Q56" s="24" t="n"/>
      <c r="R56" s="24" t="n"/>
      <c r="S56" s="25" t="n"/>
      <c r="U56" s="155">
        <f>IF(AE56=6,"Yes","No")</f>
        <v/>
      </c>
      <c r="V56" s="156">
        <f>CONCATENATE(AQ57,"/", AQ30)</f>
        <v/>
      </c>
      <c r="W56" s="156">
        <f>CONCATENATE(AQ56,"/", "10")</f>
        <v/>
      </c>
      <c r="Y56" s="122">
        <f>IF(OR(D56=Dropdowns!$B$1,D56=Dropdowns!$B$2),1,0)</f>
        <v/>
      </c>
      <c r="Z56" s="122">
        <f>IF(OR(E56=Dropdowns!$B$1,E56=Dropdowns!$B$2),1,0)</f>
        <v/>
      </c>
      <c r="AA56" s="122">
        <f>IF(OR(F56=Dropdowns!$B$1,F56=Dropdowns!$B$2),1,0)</f>
        <v/>
      </c>
      <c r="AB56" s="122">
        <f>IF(OR(G56=Dropdowns!$B$1,G56=Dropdowns!$B$2),1,0)</f>
        <v/>
      </c>
      <c r="AC56" s="122">
        <f>IF(OR(H56=Dropdowns!$B$1,H56=Dropdowns!$B$2),1,0)</f>
        <v/>
      </c>
      <c r="AD56" s="122">
        <f>IF(OR(I56=Dropdowns!$B$1,I56=Dropdowns!$B$2),1,0)</f>
        <v/>
      </c>
      <c r="AE56" s="122">
        <f>SUM(Y56:AD56)</f>
        <v/>
      </c>
      <c r="AF56" s="122" t="n"/>
      <c r="AG56" s="122">
        <f>IF(OR(J56=Dropdowns!$B$1,J56=Dropdowns!$B$2),1,0)</f>
        <v/>
      </c>
      <c r="AH56" s="122">
        <f>IF(OR(K56=Dropdowns!$B$1,K56=Dropdowns!$B$2),1,0)</f>
        <v/>
      </c>
      <c r="AI56" s="122">
        <f>IF(OR(L56=Dropdowns!$B$1,L56=Dropdowns!$B$2),1,0)</f>
        <v/>
      </c>
      <c r="AJ56" s="122">
        <f>IF(OR(M56=Dropdowns!$B$1,M56=Dropdowns!$B$2),1,0)</f>
        <v/>
      </c>
      <c r="AK56" s="122">
        <f>IF(OR(N56=Dropdowns!$B$1,N56=Dropdowns!$B$2),1,0)</f>
        <v/>
      </c>
      <c r="AL56" s="122">
        <f>IF(OR(O56=Dropdowns!$B$1,O56=Dropdowns!$B$2),1,0)</f>
        <v/>
      </c>
      <c r="AM56" s="122">
        <f>IF(OR(P56=Dropdowns!$B$1,P56=Dropdowns!$B$2),1,0)</f>
        <v/>
      </c>
      <c r="AN56" s="122">
        <f>IF(OR(Q56=Dropdowns!$B$1,Q56=Dropdowns!$B$2),1,0)</f>
        <v/>
      </c>
      <c r="AO56" s="122">
        <f>IF(OR(R56=Dropdowns!$B$1,R56=Dropdowns!$B$2),1,0)</f>
        <v/>
      </c>
      <c r="AP56" s="122">
        <f>IF(OR(S56=Dropdowns!$B$1,S56=Dropdowns!$B$2),1,0)</f>
        <v/>
      </c>
      <c r="AQ56" s="120">
        <f>SUM(AG56:AP56)</f>
        <v/>
      </c>
    </row>
    <row r="57" hidden="1" outlineLevel="1" ht="65.09999999999999" customHeight="1" s="59" thickBot="1" thickTop="1">
      <c r="B57" s="187" t="n"/>
      <c r="C57" s="48" t="inlineStr">
        <is>
          <t>Notes/comments on investor alignment:</t>
        </is>
      </c>
      <c r="D57" s="26" t="n"/>
      <c r="E57" s="26" t="n"/>
      <c r="F57" s="26" t="n"/>
      <c r="G57" s="26" t="n"/>
      <c r="H57" s="26" t="n"/>
      <c r="I57" s="26" t="n"/>
      <c r="J57" s="26" t="n"/>
      <c r="K57" s="26" t="n"/>
      <c r="L57" s="26" t="n"/>
      <c r="M57" s="26" t="n"/>
      <c r="N57" s="26" t="n"/>
      <c r="O57" s="26" t="n"/>
      <c r="P57" s="26" t="n"/>
      <c r="Q57" s="26" t="n"/>
      <c r="R57" s="26" t="n"/>
      <c r="S57" s="27" t="n"/>
      <c r="U57" s="188" t="n"/>
      <c r="V57" s="188" t="n"/>
      <c r="W57" s="188" t="n"/>
      <c r="Y57" s="122" t="n"/>
      <c r="Z57" s="122" t="n"/>
      <c r="AA57" s="122" t="n"/>
      <c r="AB57" s="122" t="n"/>
      <c r="AC57" s="122" t="n"/>
      <c r="AD57" s="122" t="n"/>
      <c r="AE57" s="122" t="n"/>
      <c r="AF57" s="122" t="n"/>
      <c r="AG57" s="122">
        <f>IF(AG$9=1,AG56,0)</f>
        <v/>
      </c>
      <c r="AH57" s="122">
        <f>IF(AH$9=1,AH56,0)</f>
        <v/>
      </c>
      <c r="AI57" s="122">
        <f>IF(AI$9=1,AI56,0)</f>
        <v/>
      </c>
      <c r="AJ57" s="122">
        <f>IF(AJ$9=1,AJ56,0)</f>
        <v/>
      </c>
      <c r="AK57" s="122">
        <f>IF(AK$9=1,AK56,0)</f>
        <v/>
      </c>
      <c r="AL57" s="122">
        <f>IF(AL$9=1,AL56,0)</f>
        <v/>
      </c>
      <c r="AM57" s="122">
        <f>IF(AM$9=1,AM56,0)</f>
        <v/>
      </c>
      <c r="AN57" s="122">
        <f>IF(AN$9=1,AN56,0)</f>
        <v/>
      </c>
      <c r="AO57" s="122">
        <f>IF(AO$9=1,AO56,0)</f>
        <v/>
      </c>
      <c r="AP57" s="122">
        <f>IF(AP$9=1,AP56,0)</f>
        <v/>
      </c>
      <c r="AQ57" s="120">
        <f>SUM(AG57:AP57)</f>
        <v/>
      </c>
    </row>
    <row r="58" hidden="1" outlineLevel="1" ht="6" customHeight="1" s="59" thickBot="1">
      <c r="C58" s="51" t="n"/>
      <c r="D58" s="95" t="n"/>
      <c r="E58" s="95" t="n"/>
      <c r="F58" s="95" t="n"/>
      <c r="G58" s="95" t="n"/>
      <c r="H58" s="95" t="n"/>
      <c r="I58" s="95" t="n"/>
      <c r="J58" s="95" t="n"/>
      <c r="K58" s="95" t="n"/>
      <c r="L58" s="95" t="n"/>
      <c r="M58" s="95" t="n"/>
      <c r="N58" s="95" t="n"/>
      <c r="O58" s="95" t="n"/>
      <c r="P58" s="95" t="n"/>
      <c r="Q58" s="95" t="n"/>
      <c r="R58" s="95" t="n"/>
      <c r="S58" s="95" t="n"/>
      <c r="U58" s="35" t="n"/>
      <c r="Y58" s="122" t="inlineStr">
        <is>
          <t>D</t>
        </is>
      </c>
      <c r="Z58" s="122" t="inlineStr">
        <is>
          <t>E</t>
        </is>
      </c>
      <c r="AA58" s="122" t="inlineStr">
        <is>
          <t>F</t>
        </is>
      </c>
      <c r="AB58" s="122" t="inlineStr">
        <is>
          <t>G</t>
        </is>
      </c>
      <c r="AC58" s="122" t="inlineStr">
        <is>
          <t>H</t>
        </is>
      </c>
      <c r="AD58" s="122" t="inlineStr">
        <is>
          <t>I</t>
        </is>
      </c>
      <c r="AE58" s="122" t="inlineStr">
        <is>
          <t>Total</t>
        </is>
      </c>
      <c r="AF58" s="122" t="n"/>
      <c r="AG58" s="122" t="inlineStr">
        <is>
          <t>Very or somewhat aligned</t>
        </is>
      </c>
      <c r="AH58" s="122" t="n"/>
      <c r="AI58" s="122" t="n"/>
      <c r="AJ58" s="122" t="n"/>
      <c r="AK58" s="122" t="n"/>
      <c r="AL58" s="122" t="n"/>
      <c r="AM58" s="122" t="n"/>
      <c r="AN58" s="122" t="n"/>
      <c r="AO58" s="122" t="n"/>
      <c r="AP58" s="122" t="n"/>
      <c r="AQ58" s="122" t="n"/>
    </row>
    <row r="59" hidden="1" outlineLevel="1" ht="24.9" customHeight="1" s="59" thickBot="1" thickTop="1">
      <c r="B59" s="189" t="n"/>
      <c r="C59" s="47" t="inlineStr">
        <is>
          <t>Alignment
(dropdown menu):</t>
        </is>
      </c>
      <c r="D59" s="24" t="n"/>
      <c r="E59" s="24" t="n"/>
      <c r="F59" s="24" t="n"/>
      <c r="G59" s="24" t="n"/>
      <c r="H59" s="24" t="n"/>
      <c r="I59" s="24" t="n"/>
      <c r="J59" s="24" t="n"/>
      <c r="K59" s="24" t="n"/>
      <c r="L59" s="24" t="n"/>
      <c r="M59" s="24" t="n"/>
      <c r="N59" s="24" t="n"/>
      <c r="O59" s="24" t="n"/>
      <c r="P59" s="24" t="n"/>
      <c r="Q59" s="24" t="n"/>
      <c r="R59" s="24" t="n"/>
      <c r="S59" s="25" t="n"/>
      <c r="U59" s="155">
        <f>IF(AE59=6,"Yes","No")</f>
        <v/>
      </c>
      <c r="V59" s="156">
        <f>CONCATENATE(AQ60,"/", AQ33)</f>
        <v/>
      </c>
      <c r="W59" s="156">
        <f>CONCATENATE(AQ59,"/", "10")</f>
        <v/>
      </c>
      <c r="Y59" s="122">
        <f>IF(OR(D59=Dropdowns!$B$1,D59=Dropdowns!$B$2),1,0)</f>
        <v/>
      </c>
      <c r="Z59" s="122">
        <f>IF(OR(E59=Dropdowns!$B$1,E59=Dropdowns!$B$2),1,0)</f>
        <v/>
      </c>
      <c r="AA59" s="122">
        <f>IF(OR(F59=Dropdowns!$B$1,F59=Dropdowns!$B$2),1,0)</f>
        <v/>
      </c>
      <c r="AB59" s="122">
        <f>IF(OR(G59=Dropdowns!$B$1,G59=Dropdowns!$B$2),1,0)</f>
        <v/>
      </c>
      <c r="AC59" s="122">
        <f>IF(OR(H59=Dropdowns!$B$1,H59=Dropdowns!$B$2),1,0)</f>
        <v/>
      </c>
      <c r="AD59" s="122">
        <f>IF(OR(I59=Dropdowns!$B$1,I59=Dropdowns!$B$2),1,0)</f>
        <v/>
      </c>
      <c r="AE59" s="122">
        <f>SUM(Y59:AD59)</f>
        <v/>
      </c>
      <c r="AF59" s="122" t="n"/>
      <c r="AG59" s="122">
        <f>IF(OR(J59=Dropdowns!$B$1,J59=Dropdowns!$B$2),1,0)</f>
        <v/>
      </c>
      <c r="AH59" s="122">
        <f>IF(OR(K59=Dropdowns!$B$1,K59=Dropdowns!$B$2),1,0)</f>
        <v/>
      </c>
      <c r="AI59" s="122">
        <f>IF(OR(L59=Dropdowns!$B$1,L59=Dropdowns!$B$2),1,0)</f>
        <v/>
      </c>
      <c r="AJ59" s="122">
        <f>IF(OR(M59=Dropdowns!$B$1,M59=Dropdowns!$B$2),1,0)</f>
        <v/>
      </c>
      <c r="AK59" s="122">
        <f>IF(OR(N59=Dropdowns!$B$1,N59=Dropdowns!$B$2),1,0)</f>
        <v/>
      </c>
      <c r="AL59" s="122">
        <f>IF(OR(O59=Dropdowns!$B$1,O59=Dropdowns!$B$2),1,0)</f>
        <v/>
      </c>
      <c r="AM59" s="122">
        <f>IF(OR(P59=Dropdowns!$B$1,P59=Dropdowns!$B$2),1,0)</f>
        <v/>
      </c>
      <c r="AN59" s="122">
        <f>IF(OR(Q59=Dropdowns!$B$1,Q59=Dropdowns!$B$2),1,0)</f>
        <v/>
      </c>
      <c r="AO59" s="122">
        <f>IF(OR(R59=Dropdowns!$B$1,R59=Dropdowns!$B$2),1,0)</f>
        <v/>
      </c>
      <c r="AP59" s="122">
        <f>IF(OR(S59=Dropdowns!$B$1,S59=Dropdowns!$B$2),1,0)</f>
        <v/>
      </c>
      <c r="AQ59" s="120">
        <f>SUM(AG59:AP59)</f>
        <v/>
      </c>
    </row>
    <row r="60" hidden="1" outlineLevel="1" ht="65.09999999999999" customHeight="1" s="59" thickBot="1" thickTop="1">
      <c r="B60" s="187" t="n"/>
      <c r="C60" s="48" t="inlineStr">
        <is>
          <t>Notes/comments on investor alignment:</t>
        </is>
      </c>
      <c r="D60" s="26" t="n"/>
      <c r="E60" s="26" t="n"/>
      <c r="F60" s="26" t="n"/>
      <c r="G60" s="26" t="n"/>
      <c r="H60" s="26" t="n"/>
      <c r="I60" s="26" t="n"/>
      <c r="J60" s="26" t="n"/>
      <c r="K60" s="26" t="n"/>
      <c r="L60" s="26" t="n"/>
      <c r="M60" s="26" t="n"/>
      <c r="N60" s="26" t="n"/>
      <c r="O60" s="26" t="n"/>
      <c r="P60" s="26" t="n"/>
      <c r="Q60" s="26" t="n"/>
      <c r="R60" s="26" t="n"/>
      <c r="S60" s="27" t="n"/>
      <c r="U60" s="188" t="n"/>
      <c r="V60" s="188" t="n"/>
      <c r="W60" s="188" t="n"/>
      <c r="Y60" s="122" t="n"/>
      <c r="Z60" s="122" t="n"/>
      <c r="AA60" s="122" t="n"/>
      <c r="AB60" s="122" t="n"/>
      <c r="AC60" s="122" t="n"/>
      <c r="AD60" s="122" t="n"/>
      <c r="AE60" s="122" t="n"/>
      <c r="AF60" s="122" t="n"/>
      <c r="AG60" s="122">
        <f>IF(AG$9=1,AG59,0)</f>
        <v/>
      </c>
      <c r="AH60" s="122">
        <f>IF(AH$9=1,AH59,0)</f>
        <v/>
      </c>
      <c r="AI60" s="122">
        <f>IF(AI$9=1,AI59,0)</f>
        <v/>
      </c>
      <c r="AJ60" s="122">
        <f>IF(AJ$9=1,AJ59,0)</f>
        <v/>
      </c>
      <c r="AK60" s="122">
        <f>IF(AK$9=1,AK59,0)</f>
        <v/>
      </c>
      <c r="AL60" s="122">
        <f>IF(AL$9=1,AL59,0)</f>
        <v/>
      </c>
      <c r="AM60" s="122">
        <f>IF(AM$9=1,AM59,0)</f>
        <v/>
      </c>
      <c r="AN60" s="122">
        <f>IF(AN$9=1,AN59,0)</f>
        <v/>
      </c>
      <c r="AO60" s="122">
        <f>IF(AO$9=1,AO59,0)</f>
        <v/>
      </c>
      <c r="AP60" s="122">
        <f>IF(AP$9=1,AP59,0)</f>
        <v/>
      </c>
      <c r="AQ60" s="120">
        <f>SUM(AG60:AP60)</f>
        <v/>
      </c>
    </row>
    <row r="61" hidden="1" outlineLevel="1" ht="6" customHeight="1" s="59" thickBot="1">
      <c r="C61" s="51" t="n"/>
      <c r="D61" s="95" t="n"/>
      <c r="E61" s="95" t="n"/>
      <c r="F61" s="95" t="n"/>
      <c r="G61" s="95" t="n"/>
      <c r="H61" s="95" t="n"/>
      <c r="I61" s="95" t="n"/>
      <c r="J61" s="95" t="n"/>
      <c r="K61" s="95" t="n"/>
      <c r="L61" s="95" t="n"/>
      <c r="M61" s="95" t="n"/>
      <c r="N61" s="95" t="n"/>
      <c r="O61" s="95" t="n"/>
      <c r="P61" s="95" t="n"/>
      <c r="Q61" s="95" t="n"/>
      <c r="R61" s="95" t="n"/>
      <c r="S61" s="95" t="n"/>
      <c r="U61" s="35" t="n"/>
      <c r="Y61" s="122" t="inlineStr">
        <is>
          <t>D</t>
        </is>
      </c>
      <c r="Z61" s="122" t="inlineStr">
        <is>
          <t>E</t>
        </is>
      </c>
      <c r="AA61" s="122" t="inlineStr">
        <is>
          <t>F</t>
        </is>
      </c>
      <c r="AB61" s="122" t="inlineStr">
        <is>
          <t>G</t>
        </is>
      </c>
      <c r="AC61" s="122" t="inlineStr">
        <is>
          <t>H</t>
        </is>
      </c>
      <c r="AD61" s="122" t="inlineStr">
        <is>
          <t>I</t>
        </is>
      </c>
      <c r="AE61" s="122" t="inlineStr">
        <is>
          <t>Total</t>
        </is>
      </c>
      <c r="AF61" s="122" t="n"/>
      <c r="AG61" s="122" t="inlineStr">
        <is>
          <t>Very or somewhat aligned</t>
        </is>
      </c>
      <c r="AH61" s="122" t="n"/>
      <c r="AI61" s="122" t="n"/>
      <c r="AJ61" s="122" t="n"/>
      <c r="AK61" s="122" t="n"/>
      <c r="AL61" s="122" t="n"/>
      <c r="AM61" s="122" t="n"/>
      <c r="AN61" s="122" t="n"/>
      <c r="AO61" s="122" t="n"/>
      <c r="AP61" s="122" t="n"/>
      <c r="AQ61" s="122" t="n"/>
    </row>
    <row r="62" hidden="1" outlineLevel="1" ht="24.9" customHeight="1" s="59" thickBot="1" thickTop="1">
      <c r="B62" s="189" t="n"/>
      <c r="C62" s="47" t="inlineStr">
        <is>
          <t>Alignment
(dropdown menu):</t>
        </is>
      </c>
      <c r="D62" s="24" t="n"/>
      <c r="E62" s="24" t="n"/>
      <c r="F62" s="24" t="n"/>
      <c r="G62" s="24" t="n"/>
      <c r="H62" s="24" t="n"/>
      <c r="I62" s="24" t="n"/>
      <c r="J62" s="24" t="n"/>
      <c r="K62" s="24" t="n"/>
      <c r="L62" s="24" t="n"/>
      <c r="M62" s="24" t="n"/>
      <c r="N62" s="24" t="n"/>
      <c r="O62" s="24" t="n"/>
      <c r="P62" s="24" t="n"/>
      <c r="Q62" s="24" t="n"/>
      <c r="R62" s="24" t="n"/>
      <c r="S62" s="25" t="n"/>
      <c r="U62" s="155">
        <f>IF(AE62=6,"Yes","No")</f>
        <v/>
      </c>
      <c r="V62" s="156">
        <f>CONCATENATE(AQ63,"/", AQ36)</f>
        <v/>
      </c>
      <c r="W62" s="156">
        <f>CONCATENATE(AQ62,"/", "10")</f>
        <v/>
      </c>
      <c r="Y62" s="122">
        <f>IF(OR(D62=Dropdowns!$B$1,D62=Dropdowns!$B$2),1,0)</f>
        <v/>
      </c>
      <c r="Z62" s="122">
        <f>IF(OR(E62=Dropdowns!$B$1,E62=Dropdowns!$B$2),1,0)</f>
        <v/>
      </c>
      <c r="AA62" s="122">
        <f>IF(OR(F62=Dropdowns!$B$1,F62=Dropdowns!$B$2),1,0)</f>
        <v/>
      </c>
      <c r="AB62" s="122">
        <f>IF(OR(G62=Dropdowns!$B$1,G62=Dropdowns!$B$2),1,0)</f>
        <v/>
      </c>
      <c r="AC62" s="122">
        <f>IF(OR(H62=Dropdowns!$B$1,H62=Dropdowns!$B$2),1,0)</f>
        <v/>
      </c>
      <c r="AD62" s="122">
        <f>IF(OR(I62=Dropdowns!$B$1,I62=Dropdowns!$B$2),1,0)</f>
        <v/>
      </c>
      <c r="AE62" s="122">
        <f>SUM(Y62:AD62)</f>
        <v/>
      </c>
      <c r="AF62" s="122" t="n"/>
      <c r="AG62" s="122">
        <f>IF(OR(J62=Dropdowns!$B$1,J62=Dropdowns!$B$2),1,0)</f>
        <v/>
      </c>
      <c r="AH62" s="122">
        <f>IF(OR(K62=Dropdowns!$B$1,K62=Dropdowns!$B$2),1,0)</f>
        <v/>
      </c>
      <c r="AI62" s="122">
        <f>IF(OR(L62=Dropdowns!$B$1,L62=Dropdowns!$B$2),1,0)</f>
        <v/>
      </c>
      <c r="AJ62" s="122">
        <f>IF(OR(M62=Dropdowns!$B$1,M62=Dropdowns!$B$2),1,0)</f>
        <v/>
      </c>
      <c r="AK62" s="122">
        <f>IF(OR(N62=Dropdowns!$B$1,N62=Dropdowns!$B$2),1,0)</f>
        <v/>
      </c>
      <c r="AL62" s="122">
        <f>IF(OR(O62=Dropdowns!$B$1,O62=Dropdowns!$B$2),1,0)</f>
        <v/>
      </c>
      <c r="AM62" s="122">
        <f>IF(OR(P62=Dropdowns!$B$1,P62=Dropdowns!$B$2),1,0)</f>
        <v/>
      </c>
      <c r="AN62" s="122">
        <f>IF(OR(Q62=Dropdowns!$B$1,Q62=Dropdowns!$B$2),1,0)</f>
        <v/>
      </c>
      <c r="AO62" s="122">
        <f>IF(OR(R62=Dropdowns!$B$1,R62=Dropdowns!$B$2),1,0)</f>
        <v/>
      </c>
      <c r="AP62" s="122">
        <f>IF(OR(S62=Dropdowns!$B$1,S62=Dropdowns!$B$2),1,0)</f>
        <v/>
      </c>
      <c r="AQ62" s="120">
        <f>SUM(AG62:AP62)</f>
        <v/>
      </c>
    </row>
    <row r="63" hidden="1" outlineLevel="1" ht="65.09999999999999" customHeight="1" s="59" thickBot="1" thickTop="1">
      <c r="B63" s="187" t="n"/>
      <c r="C63" s="48" t="inlineStr">
        <is>
          <t>Notes/comments on investor alignment:</t>
        </is>
      </c>
      <c r="D63" s="26" t="n"/>
      <c r="E63" s="26" t="n"/>
      <c r="F63" s="26" t="n"/>
      <c r="G63" s="26" t="n"/>
      <c r="H63" s="26" t="n"/>
      <c r="I63" s="26" t="n"/>
      <c r="J63" s="26" t="n"/>
      <c r="K63" s="26" t="n"/>
      <c r="L63" s="26" t="n"/>
      <c r="M63" s="26" t="n"/>
      <c r="N63" s="26" t="n"/>
      <c r="O63" s="26" t="n"/>
      <c r="P63" s="26" t="n"/>
      <c r="Q63" s="26" t="n"/>
      <c r="R63" s="26" t="n"/>
      <c r="S63" s="27" t="n"/>
      <c r="U63" s="188" t="n"/>
      <c r="V63" s="188" t="n"/>
      <c r="W63" s="188" t="n"/>
      <c r="Y63" s="122" t="n"/>
      <c r="Z63" s="122" t="n"/>
      <c r="AA63" s="122" t="n"/>
      <c r="AB63" s="122" t="n"/>
      <c r="AC63" s="122" t="n"/>
      <c r="AD63" s="122" t="n"/>
      <c r="AE63" s="122" t="n"/>
      <c r="AF63" s="122" t="n"/>
      <c r="AG63" s="122">
        <f>IF(AG$9=1,AG62,0)</f>
        <v/>
      </c>
      <c r="AH63" s="122">
        <f>IF(AH$9=1,AH62,0)</f>
        <v/>
      </c>
      <c r="AI63" s="122">
        <f>IF(AI$9=1,AI62,0)</f>
        <v/>
      </c>
      <c r="AJ63" s="122">
        <f>IF(AJ$9=1,AJ62,0)</f>
        <v/>
      </c>
      <c r="AK63" s="122">
        <f>IF(AK$9=1,AK62,0)</f>
        <v/>
      </c>
      <c r="AL63" s="122">
        <f>IF(AL$9=1,AL62,0)</f>
        <v/>
      </c>
      <c r="AM63" s="122">
        <f>IF(AM$9=1,AM62,0)</f>
        <v/>
      </c>
      <c r="AN63" s="122">
        <f>IF(AN$9=1,AN62,0)</f>
        <v/>
      </c>
      <c r="AO63" s="122">
        <f>IF(AO$9=1,AO62,0)</f>
        <v/>
      </c>
      <c r="AP63" s="122">
        <f>IF(AP$9=1,AP62,0)</f>
        <v/>
      </c>
      <c r="AQ63" s="120">
        <f>SUM(AG63:AP63)</f>
        <v/>
      </c>
    </row>
    <row r="64" hidden="1" outlineLevel="1" ht="6" customHeight="1" s="59" thickBot="1">
      <c r="C64" s="51" t="n"/>
      <c r="D64" s="95" t="n"/>
      <c r="E64" s="95" t="n"/>
      <c r="F64" s="95" t="n"/>
      <c r="G64" s="95" t="n"/>
      <c r="H64" s="95" t="n"/>
      <c r="I64" s="95" t="n"/>
      <c r="J64" s="95" t="n"/>
      <c r="K64" s="95" t="n"/>
      <c r="L64" s="95" t="n"/>
      <c r="M64" s="95" t="n"/>
      <c r="N64" s="95" t="n"/>
      <c r="O64" s="95" t="n"/>
      <c r="P64" s="95" t="n"/>
      <c r="Q64" s="95" t="n"/>
      <c r="R64" s="95" t="n"/>
      <c r="S64" s="95" t="n"/>
      <c r="U64" s="35" t="n"/>
      <c r="Y64" s="122" t="inlineStr">
        <is>
          <t>D</t>
        </is>
      </c>
      <c r="Z64" s="122" t="inlineStr">
        <is>
          <t>E</t>
        </is>
      </c>
      <c r="AA64" s="122" t="inlineStr">
        <is>
          <t>F</t>
        </is>
      </c>
      <c r="AB64" s="122" t="inlineStr">
        <is>
          <t>G</t>
        </is>
      </c>
      <c r="AC64" s="122" t="inlineStr">
        <is>
          <t>H</t>
        </is>
      </c>
      <c r="AD64" s="122" t="inlineStr">
        <is>
          <t>I</t>
        </is>
      </c>
      <c r="AE64" s="122" t="inlineStr">
        <is>
          <t>Total</t>
        </is>
      </c>
      <c r="AF64" s="122" t="n"/>
      <c r="AG64" s="122" t="inlineStr">
        <is>
          <t>Very or somewhat aligned</t>
        </is>
      </c>
      <c r="AH64" s="122" t="n"/>
      <c r="AI64" s="122" t="n"/>
      <c r="AJ64" s="122" t="n"/>
      <c r="AK64" s="122" t="n"/>
      <c r="AL64" s="122" t="n"/>
      <c r="AM64" s="122" t="n"/>
      <c r="AN64" s="122" t="n"/>
      <c r="AO64" s="122" t="n"/>
      <c r="AP64" s="122" t="n"/>
      <c r="AQ64" s="122" t="n"/>
    </row>
    <row r="65" hidden="1" outlineLevel="1" ht="24.9" customHeight="1" s="59" thickBot="1" thickTop="1">
      <c r="B65" s="189" t="n"/>
      <c r="C65" s="47" t="inlineStr">
        <is>
          <t>Alignment
(dropdown menu):</t>
        </is>
      </c>
      <c r="D65" s="24" t="n"/>
      <c r="E65" s="24" t="n"/>
      <c r="F65" s="24" t="n"/>
      <c r="G65" s="24" t="n"/>
      <c r="H65" s="24" t="n"/>
      <c r="I65" s="24" t="n"/>
      <c r="J65" s="24" t="n"/>
      <c r="K65" s="24" t="n"/>
      <c r="L65" s="24" t="n"/>
      <c r="M65" s="24" t="n"/>
      <c r="N65" s="24" t="n"/>
      <c r="O65" s="24" t="n"/>
      <c r="P65" s="24" t="n"/>
      <c r="Q65" s="24" t="n"/>
      <c r="R65" s="24" t="n"/>
      <c r="S65" s="25" t="n"/>
      <c r="U65" s="155">
        <f>IF(AE65=6,"Yes","No")</f>
        <v/>
      </c>
      <c r="V65" s="156">
        <f>CONCATENATE(AQ66,"/", AQ39)</f>
        <v/>
      </c>
      <c r="W65" s="156">
        <f>CONCATENATE(AQ65,"/", "10")</f>
        <v/>
      </c>
      <c r="Y65" s="122">
        <f>IF(OR(D65=Dropdowns!$B$1,D65=Dropdowns!$B$2),1,0)</f>
        <v/>
      </c>
      <c r="Z65" s="122">
        <f>IF(OR(E65=Dropdowns!$B$1,E65=Dropdowns!$B$2),1,0)</f>
        <v/>
      </c>
      <c r="AA65" s="122">
        <f>IF(OR(F65=Dropdowns!$B$1,F65=Dropdowns!$B$2),1,0)</f>
        <v/>
      </c>
      <c r="AB65" s="122">
        <f>IF(OR(G65=Dropdowns!$B$1,G65=Dropdowns!$B$2),1,0)</f>
        <v/>
      </c>
      <c r="AC65" s="122">
        <f>IF(OR(H65=Dropdowns!$B$1,H65=Dropdowns!$B$2),1,0)</f>
        <v/>
      </c>
      <c r="AD65" s="122">
        <f>IF(OR(I65=Dropdowns!$B$1,I65=Dropdowns!$B$2),1,0)</f>
        <v/>
      </c>
      <c r="AE65" s="122">
        <f>SUM(Y65:AD65)</f>
        <v/>
      </c>
      <c r="AF65" s="122" t="n"/>
      <c r="AG65" s="122">
        <f>IF(OR(J65=Dropdowns!$B$1,J65=Dropdowns!$B$2),1,0)</f>
        <v/>
      </c>
      <c r="AH65" s="122">
        <f>IF(OR(K65=Dropdowns!$B$1,K65=Dropdowns!$B$2),1,0)</f>
        <v/>
      </c>
      <c r="AI65" s="122">
        <f>IF(OR(L65=Dropdowns!$B$1,L65=Dropdowns!$B$2),1,0)</f>
        <v/>
      </c>
      <c r="AJ65" s="122">
        <f>IF(OR(M65=Dropdowns!$B$1,M65=Dropdowns!$B$2),1,0)</f>
        <v/>
      </c>
      <c r="AK65" s="122">
        <f>IF(OR(N65=Dropdowns!$B$1,N65=Dropdowns!$B$2),1,0)</f>
        <v/>
      </c>
      <c r="AL65" s="122">
        <f>IF(OR(O65=Dropdowns!$B$1,O65=Dropdowns!$B$2),1,0)</f>
        <v/>
      </c>
      <c r="AM65" s="122">
        <f>IF(OR(P65=Dropdowns!$B$1,P65=Dropdowns!$B$2),1,0)</f>
        <v/>
      </c>
      <c r="AN65" s="122">
        <f>IF(OR(Q65=Dropdowns!$B$1,Q65=Dropdowns!$B$2),1,0)</f>
        <v/>
      </c>
      <c r="AO65" s="122">
        <f>IF(OR(R65=Dropdowns!$B$1,R65=Dropdowns!$B$2),1,0)</f>
        <v/>
      </c>
      <c r="AP65" s="122">
        <f>IF(OR(S65=Dropdowns!$B$1,S65=Dropdowns!$B$2),1,0)</f>
        <v/>
      </c>
      <c r="AQ65" s="120">
        <f>SUM(AG65:AP65)</f>
        <v/>
      </c>
    </row>
    <row r="66" hidden="1" outlineLevel="1" ht="65.09999999999999" customHeight="1" s="59" thickBot="1" thickTop="1">
      <c r="B66" s="187" t="n"/>
      <c r="C66" s="48" t="inlineStr">
        <is>
          <t>Notes/comments on investor alignment:</t>
        </is>
      </c>
      <c r="D66" s="26" t="n"/>
      <c r="E66" s="26" t="n"/>
      <c r="F66" s="26" t="n"/>
      <c r="G66" s="26" t="n"/>
      <c r="H66" s="26" t="n"/>
      <c r="I66" s="26" t="n"/>
      <c r="J66" s="26" t="n"/>
      <c r="K66" s="26" t="n"/>
      <c r="L66" s="26" t="n"/>
      <c r="M66" s="26" t="n"/>
      <c r="N66" s="26" t="n"/>
      <c r="O66" s="26" t="n"/>
      <c r="P66" s="26" t="n"/>
      <c r="Q66" s="26" t="n"/>
      <c r="R66" s="26" t="n"/>
      <c r="S66" s="27" t="n"/>
      <c r="U66" s="188" t="n"/>
      <c r="V66" s="188" t="n"/>
      <c r="W66" s="188" t="n"/>
      <c r="Y66" s="122" t="n"/>
      <c r="Z66" s="122" t="n"/>
      <c r="AA66" s="122" t="n"/>
      <c r="AB66" s="122" t="n"/>
      <c r="AC66" s="122" t="n"/>
      <c r="AD66" s="122" t="n"/>
      <c r="AE66" s="122" t="n"/>
      <c r="AF66" s="122" t="n"/>
      <c r="AG66" s="122">
        <f>IF(AG$9=1,AG65,0)</f>
        <v/>
      </c>
      <c r="AH66" s="122">
        <f>IF(AH$9=1,AH65,0)</f>
        <v/>
      </c>
      <c r="AI66" s="122">
        <f>IF(AI$9=1,AI65,0)</f>
        <v/>
      </c>
      <c r="AJ66" s="122">
        <f>IF(AJ$9=1,AJ65,0)</f>
        <v/>
      </c>
      <c r="AK66" s="122">
        <f>IF(AK$9=1,AK65,0)</f>
        <v/>
      </c>
      <c r="AL66" s="122">
        <f>IF(AL$9=1,AL65,0)</f>
        <v/>
      </c>
      <c r="AM66" s="122">
        <f>IF(AM$9=1,AM65,0)</f>
        <v/>
      </c>
      <c r="AN66" s="122">
        <f>IF(AN$9=1,AN65,0)</f>
        <v/>
      </c>
      <c r="AO66" s="122">
        <f>IF(AO$9=1,AO65,0)</f>
        <v/>
      </c>
      <c r="AP66" s="122">
        <f>IF(AP$9=1,AP65,0)</f>
        <v/>
      </c>
      <c r="AQ66" s="120">
        <f>SUM(AG66:AP66)</f>
        <v/>
      </c>
    </row>
    <row r="67" hidden="1" outlineLevel="1" ht="6" customHeight="1" s="59" thickBot="1">
      <c r="C67" s="51" t="n"/>
      <c r="D67" s="95" t="n"/>
      <c r="E67" s="95" t="n"/>
      <c r="F67" s="95" t="n"/>
      <c r="G67" s="95" t="n"/>
      <c r="H67" s="95" t="n"/>
      <c r="I67" s="95" t="n"/>
      <c r="J67" s="95" t="n"/>
      <c r="K67" s="95" t="n"/>
      <c r="L67" s="95" t="n"/>
      <c r="M67" s="95" t="n"/>
      <c r="N67" s="95" t="n"/>
      <c r="O67" s="95" t="n"/>
      <c r="P67" s="95" t="n"/>
      <c r="Q67" s="95" t="n"/>
      <c r="R67" s="95" t="n"/>
      <c r="S67" s="95" t="n"/>
      <c r="U67" s="35" t="n"/>
      <c r="Y67" s="122" t="inlineStr">
        <is>
          <t>D</t>
        </is>
      </c>
      <c r="Z67" s="122" t="inlineStr">
        <is>
          <t>E</t>
        </is>
      </c>
      <c r="AA67" s="122" t="inlineStr">
        <is>
          <t>F</t>
        </is>
      </c>
      <c r="AB67" s="122" t="inlineStr">
        <is>
          <t>G</t>
        </is>
      </c>
      <c r="AC67" s="122" t="inlineStr">
        <is>
          <t>H</t>
        </is>
      </c>
      <c r="AD67" s="122" t="inlineStr">
        <is>
          <t>I</t>
        </is>
      </c>
      <c r="AE67" s="122" t="inlineStr">
        <is>
          <t>Total</t>
        </is>
      </c>
      <c r="AF67" s="122" t="n"/>
      <c r="AG67" s="122" t="inlineStr">
        <is>
          <t>Very or somewhat aligned</t>
        </is>
      </c>
      <c r="AH67" s="122" t="n"/>
      <c r="AI67" s="122" t="n"/>
      <c r="AJ67" s="122" t="n"/>
      <c r="AK67" s="122" t="n"/>
      <c r="AL67" s="122" t="n"/>
      <c r="AM67" s="122" t="n"/>
      <c r="AN67" s="122" t="n"/>
      <c r="AO67" s="122" t="n"/>
      <c r="AP67" s="122" t="n"/>
      <c r="AQ67" s="122" t="n"/>
    </row>
    <row r="68" hidden="1" outlineLevel="1" ht="24.9" customHeight="1" s="59" thickBot="1" thickTop="1">
      <c r="B68" s="189" t="n"/>
      <c r="C68" s="47" t="inlineStr">
        <is>
          <t>Alignment
(dropdown menu):</t>
        </is>
      </c>
      <c r="D68" s="24" t="n"/>
      <c r="E68" s="24" t="n"/>
      <c r="F68" s="24" t="n"/>
      <c r="G68" s="24" t="n"/>
      <c r="H68" s="24" t="n"/>
      <c r="I68" s="24" t="n"/>
      <c r="J68" s="24" t="n"/>
      <c r="K68" s="24" t="n"/>
      <c r="L68" s="24" t="n"/>
      <c r="M68" s="24" t="n"/>
      <c r="N68" s="24" t="n"/>
      <c r="O68" s="24" t="n"/>
      <c r="P68" s="24" t="n"/>
      <c r="Q68" s="24" t="n"/>
      <c r="R68" s="24" t="n"/>
      <c r="S68" s="25" t="n"/>
      <c r="U68" s="155">
        <f>IF(AE68=6,"Yes","No")</f>
        <v/>
      </c>
      <c r="V68" s="156">
        <f>CONCATENATE(AQ69,"/", AQ42)</f>
        <v/>
      </c>
      <c r="W68" s="156">
        <f>CONCATENATE(AQ68,"/", "10")</f>
        <v/>
      </c>
      <c r="Y68" s="122">
        <f>IF(OR(D68=Dropdowns!$B$1,D68=Dropdowns!$B$2),1,0)</f>
        <v/>
      </c>
      <c r="Z68" s="122">
        <f>IF(OR(E68=Dropdowns!$B$1,E68=Dropdowns!$B$2),1,0)</f>
        <v/>
      </c>
      <c r="AA68" s="122">
        <f>IF(OR(F68=Dropdowns!$B$1,F68=Dropdowns!$B$2),1,0)</f>
        <v/>
      </c>
      <c r="AB68" s="122">
        <f>IF(OR(G68=Dropdowns!$B$1,G68=Dropdowns!$B$2),1,0)</f>
        <v/>
      </c>
      <c r="AC68" s="122">
        <f>IF(OR(H68=Dropdowns!$B$1,H68=Dropdowns!$B$2),1,0)</f>
        <v/>
      </c>
      <c r="AD68" s="122">
        <f>IF(OR(I68=Dropdowns!$B$1,I68=Dropdowns!$B$2),1,0)</f>
        <v/>
      </c>
      <c r="AE68" s="122">
        <f>SUM(Y68:AD68)</f>
        <v/>
      </c>
      <c r="AF68" s="122" t="n"/>
      <c r="AG68" s="122">
        <f>IF(OR(J68=Dropdowns!$B$1,J68=Dropdowns!$B$2),1,0)</f>
        <v/>
      </c>
      <c r="AH68" s="122">
        <f>IF(OR(K68=Dropdowns!$B$1,K68=Dropdowns!$B$2),1,0)</f>
        <v/>
      </c>
      <c r="AI68" s="122">
        <f>IF(OR(L68=Dropdowns!$B$1,L68=Dropdowns!$B$2),1,0)</f>
        <v/>
      </c>
      <c r="AJ68" s="122">
        <f>IF(OR(M68=Dropdowns!$B$1,M68=Dropdowns!$B$2),1,0)</f>
        <v/>
      </c>
      <c r="AK68" s="122">
        <f>IF(OR(N68=Dropdowns!$B$1,N68=Dropdowns!$B$2),1,0)</f>
        <v/>
      </c>
      <c r="AL68" s="122">
        <f>IF(OR(O68=Dropdowns!$B$1,O68=Dropdowns!$B$2),1,0)</f>
        <v/>
      </c>
      <c r="AM68" s="122">
        <f>IF(OR(P68=Dropdowns!$B$1,P68=Dropdowns!$B$2),1,0)</f>
        <v/>
      </c>
      <c r="AN68" s="122">
        <f>IF(OR(Q68=Dropdowns!$B$1,Q68=Dropdowns!$B$2),1,0)</f>
        <v/>
      </c>
      <c r="AO68" s="122">
        <f>IF(OR(R68=Dropdowns!$B$1,R68=Dropdowns!$B$2),1,0)</f>
        <v/>
      </c>
      <c r="AP68" s="122">
        <f>IF(OR(S68=Dropdowns!$B$1,S68=Dropdowns!$B$2),1,0)</f>
        <v/>
      </c>
      <c r="AQ68" s="120">
        <f>SUM(AG68:AP68)</f>
        <v/>
      </c>
    </row>
    <row r="69" hidden="1" outlineLevel="1" ht="65.09999999999999" customHeight="1" s="59" thickBot="1" thickTop="1">
      <c r="B69" s="187" t="n"/>
      <c r="C69" s="48" t="inlineStr">
        <is>
          <t>Notes/comments on investor alignment:</t>
        </is>
      </c>
      <c r="D69" s="26" t="n"/>
      <c r="E69" s="26" t="n"/>
      <c r="F69" s="26" t="n"/>
      <c r="G69" s="26" t="n"/>
      <c r="H69" s="26" t="n"/>
      <c r="I69" s="26" t="n"/>
      <c r="J69" s="26" t="n"/>
      <c r="K69" s="26" t="n"/>
      <c r="L69" s="26" t="n"/>
      <c r="M69" s="26" t="n"/>
      <c r="N69" s="26" t="n"/>
      <c r="O69" s="26" t="n"/>
      <c r="P69" s="26" t="n"/>
      <c r="Q69" s="26" t="n"/>
      <c r="R69" s="26" t="n"/>
      <c r="S69" s="27" t="n"/>
      <c r="U69" s="188" t="n"/>
      <c r="V69" s="188" t="n"/>
      <c r="W69" s="188" t="n"/>
      <c r="Y69" s="122" t="n"/>
      <c r="Z69" s="122" t="n"/>
      <c r="AA69" s="122" t="n"/>
      <c r="AB69" s="122" t="n"/>
      <c r="AC69" s="122" t="n"/>
      <c r="AD69" s="122" t="n"/>
      <c r="AE69" s="122" t="n"/>
      <c r="AF69" s="122" t="n"/>
      <c r="AG69" s="122">
        <f>IF(AG$9=1,AG68,0)</f>
        <v/>
      </c>
      <c r="AH69" s="122">
        <f>IF(AH$9=1,AH68,0)</f>
        <v/>
      </c>
      <c r="AI69" s="122">
        <f>IF(AI$9=1,AI68,0)</f>
        <v/>
      </c>
      <c r="AJ69" s="122">
        <f>IF(AJ$9=1,AJ68,0)</f>
        <v/>
      </c>
      <c r="AK69" s="122">
        <f>IF(AK$9=1,AK68,0)</f>
        <v/>
      </c>
      <c r="AL69" s="122">
        <f>IF(AL$9=1,AL68,0)</f>
        <v/>
      </c>
      <c r="AM69" s="122">
        <f>IF(AM$9=1,AM68,0)</f>
        <v/>
      </c>
      <c r="AN69" s="122">
        <f>IF(AN$9=1,AN68,0)</f>
        <v/>
      </c>
      <c r="AO69" s="122">
        <f>IF(AO$9=1,AO68,0)</f>
        <v/>
      </c>
      <c r="AP69" s="122">
        <f>IF(AP$9=1,AP68,0)</f>
        <v/>
      </c>
      <c r="AQ69" s="120">
        <f>SUM(AG69:AP69)</f>
        <v/>
      </c>
    </row>
    <row r="70" collapsed="1" ht="30" customHeight="1" s="59">
      <c r="D70" s="96" t="n"/>
      <c r="E70" s="96" t="n"/>
      <c r="F70" s="96" t="n"/>
      <c r="G70" s="96" t="n"/>
      <c r="H70" s="96" t="n"/>
      <c r="I70" s="96" t="n"/>
      <c r="J70" s="96" t="n"/>
      <c r="K70" s="96" t="n"/>
      <c r="L70" s="96" t="n"/>
      <c r="M70" s="96" t="n"/>
      <c r="N70" s="96" t="n"/>
      <c r="O70" s="96" t="n"/>
      <c r="P70" s="96" t="n"/>
      <c r="Q70" s="96" t="n"/>
      <c r="R70" s="96" t="n"/>
      <c r="S70" s="96" t="n"/>
      <c r="U70" s="35" t="n"/>
      <c r="Y70" s="122" t="n"/>
      <c r="Z70" s="122" t="n"/>
      <c r="AA70" s="122" t="n"/>
      <c r="AB70" s="122" t="n"/>
      <c r="AC70" s="122" t="n"/>
      <c r="AD70" s="122" t="n"/>
      <c r="AE70" s="122" t="n"/>
      <c r="AF70" s="122" t="n"/>
      <c r="AG70" s="122" t="n"/>
      <c r="AH70" s="122" t="n"/>
      <c r="AI70" s="122" t="n"/>
      <c r="AJ70" s="122" t="n"/>
      <c r="AK70" s="122" t="n"/>
      <c r="AL70" s="122" t="n"/>
      <c r="AM70" s="122" t="n"/>
      <c r="AN70" s="122" t="n"/>
      <c r="AO70" s="122" t="n"/>
      <c r="AP70" s="122" t="n"/>
      <c r="AQ70" s="122" t="n"/>
    </row>
    <row r="71" hidden="1" outlineLevel="1" ht="24.9" customHeight="1" s="59" thickBot="1" thickTop="1">
      <c r="A71" s="10" t="n"/>
      <c r="B71" s="189" t="n"/>
      <c r="C71" s="47" t="inlineStr">
        <is>
          <t>Alignment
(dropdown menu):</t>
        </is>
      </c>
      <c r="D71" s="24" t="n"/>
      <c r="E71" s="24" t="n"/>
      <c r="F71" s="24" t="n"/>
      <c r="G71" s="24" t="n"/>
      <c r="H71" s="24" t="n"/>
      <c r="I71" s="24" t="n"/>
      <c r="J71" s="24" t="n"/>
      <c r="K71" s="24" t="n"/>
      <c r="L71" s="24" t="n"/>
      <c r="M71" s="24" t="n"/>
      <c r="N71" s="24" t="n"/>
      <c r="O71" s="24" t="n"/>
      <c r="P71" s="24" t="n"/>
      <c r="Q71" s="24" t="n"/>
      <c r="R71" s="24" t="n"/>
      <c r="S71" s="25" t="n"/>
      <c r="U71" s="155">
        <f>IF(AE71=6,"Yes","No")</f>
        <v/>
      </c>
      <c r="V71" s="156">
        <f>CONCATENATE(AQ72,"/", AQ69)</f>
        <v/>
      </c>
      <c r="W71" s="156">
        <f>CONCATENATE(AQ71,"/", "10")</f>
        <v/>
      </c>
      <c r="Y71" s="122">
        <f>IF(OR(D71=Dropdowns!$B$1,D71=Dropdowns!$B$2),1,0)</f>
        <v/>
      </c>
      <c r="Z71" s="122">
        <f>IF(OR(E71=Dropdowns!$B$1,E71=Dropdowns!$B$2),1,0)</f>
        <v/>
      </c>
      <c r="AA71" s="122">
        <f>IF(OR(F71=Dropdowns!$B$1,F71=Dropdowns!$B$2),1,0)</f>
        <v/>
      </c>
      <c r="AB71" s="122">
        <f>IF(OR(G71=Dropdowns!$B$1,G71=Dropdowns!$B$2),1,0)</f>
        <v/>
      </c>
      <c r="AC71" s="122">
        <f>IF(OR(H71=Dropdowns!$B$1,H71=Dropdowns!$B$2),1,0)</f>
        <v/>
      </c>
      <c r="AD71" s="122">
        <f>IF(OR(I71=Dropdowns!$B$1,I71=Dropdowns!$B$2),1,0)</f>
        <v/>
      </c>
      <c r="AE71" s="122">
        <f>SUM(Y71:AD71)</f>
        <v/>
      </c>
      <c r="AF71" s="122" t="n"/>
      <c r="AG71" s="122">
        <f>IF(OR(J71=Dropdowns!$B$1,J71=Dropdowns!$B$2),1,0)</f>
        <v/>
      </c>
      <c r="AH71" s="122">
        <f>IF(OR(K71=Dropdowns!$B$1,K71=Dropdowns!$B$2),1,0)</f>
        <v/>
      </c>
      <c r="AI71" s="122">
        <f>IF(OR(L71=Dropdowns!$B$1,L71=Dropdowns!$B$2),1,0)</f>
        <v/>
      </c>
      <c r="AJ71" s="122">
        <f>IF(OR(M71=Dropdowns!$B$1,M71=Dropdowns!$B$2),1,0)</f>
        <v/>
      </c>
      <c r="AK71" s="122">
        <f>IF(OR(N71=Dropdowns!$B$1,N71=Dropdowns!$B$2),1,0)</f>
        <v/>
      </c>
      <c r="AL71" s="122">
        <f>IF(OR(O71=Dropdowns!$B$1,O71=Dropdowns!$B$2),1,0)</f>
        <v/>
      </c>
      <c r="AM71" s="122">
        <f>IF(OR(P71=Dropdowns!$B$1,P71=Dropdowns!$B$2),1,0)</f>
        <v/>
      </c>
      <c r="AN71" s="122">
        <f>IF(OR(Q71=Dropdowns!$B$1,Q71=Dropdowns!$B$2),1,0)</f>
        <v/>
      </c>
      <c r="AO71" s="122">
        <f>IF(OR(R71=Dropdowns!$B$1,R71=Dropdowns!$B$2),1,0)</f>
        <v/>
      </c>
      <c r="AP71" s="122">
        <f>IF(OR(S71=Dropdowns!$B$1,S71=Dropdowns!$B$2),1,0)</f>
        <v/>
      </c>
      <c r="AQ71" s="120">
        <f>SUM(AG71:AP71)</f>
        <v/>
      </c>
    </row>
    <row r="72" hidden="1" outlineLevel="1" ht="65.09999999999999" customHeight="1" s="59" thickBot="1" thickTop="1">
      <c r="A72" s="4" t="n"/>
      <c r="B72" s="187" t="n"/>
      <c r="C72" s="48" t="inlineStr">
        <is>
          <t>Notes/comments on investor alignment:</t>
        </is>
      </c>
      <c r="D72" s="26" t="n"/>
      <c r="E72" s="26" t="n"/>
      <c r="F72" s="26" t="n"/>
      <c r="G72" s="26" t="n"/>
      <c r="H72" s="26" t="n"/>
      <c r="I72" s="26" t="n"/>
      <c r="J72" s="26" t="n"/>
      <c r="K72" s="26" t="n"/>
      <c r="L72" s="26" t="n"/>
      <c r="M72" s="26" t="n"/>
      <c r="N72" s="26" t="n"/>
      <c r="O72" s="26" t="n"/>
      <c r="P72" s="26" t="n"/>
      <c r="Q72" s="26" t="n"/>
      <c r="R72" s="26" t="n"/>
      <c r="S72" s="27" t="n"/>
      <c r="U72" s="188" t="n"/>
      <c r="V72" s="188" t="n"/>
      <c r="W72" s="188" t="n"/>
      <c r="Y72" s="122" t="n"/>
      <c r="Z72" s="122" t="n"/>
      <c r="AA72" s="122" t="n"/>
      <c r="AB72" s="122" t="n"/>
      <c r="AC72" s="122" t="n"/>
      <c r="AD72" s="122" t="n"/>
      <c r="AE72" s="122" t="n"/>
      <c r="AF72" s="122" t="n"/>
      <c r="AG72" s="122">
        <f>IF(AG$9=1,AG71,0)</f>
        <v/>
      </c>
      <c r="AH72" s="122">
        <f>IF(AH$9=1,AH71,0)</f>
        <v/>
      </c>
      <c r="AI72" s="122">
        <f>IF(AI$9=1,AI71,0)</f>
        <v/>
      </c>
      <c r="AJ72" s="122">
        <f>IF(AJ$9=1,AJ71,0)</f>
        <v/>
      </c>
      <c r="AK72" s="122">
        <f>IF(AK$9=1,AK71,0)</f>
        <v/>
      </c>
      <c r="AL72" s="122">
        <f>IF(AL$9=1,AL71,0)</f>
        <v/>
      </c>
      <c r="AM72" s="122">
        <f>IF(AM$9=1,AM71,0)</f>
        <v/>
      </c>
      <c r="AN72" s="122">
        <f>IF(AN$9=1,AN71,0)</f>
        <v/>
      </c>
      <c r="AO72" s="122">
        <f>IF(AO$9=1,AO71,0)</f>
        <v/>
      </c>
      <c r="AP72" s="122">
        <f>IF(AP$9=1,AP71,0)</f>
        <v/>
      </c>
      <c r="AQ72" s="120">
        <f>SUM(AG72:AP72)</f>
        <v/>
      </c>
    </row>
    <row r="73" hidden="1" outlineLevel="1" ht="6" customFormat="1" customHeight="1" s="17" thickBot="1">
      <c r="A73" s="17" t="n"/>
      <c r="B73" s="54" t="n"/>
      <c r="C73" s="49" t="n"/>
      <c r="D73" s="95" t="n"/>
      <c r="E73" s="95" t="n"/>
      <c r="F73" s="95" t="n"/>
      <c r="G73" s="95" t="n"/>
      <c r="H73" s="95" t="n"/>
      <c r="I73" s="95" t="n"/>
      <c r="J73" s="95" t="n"/>
      <c r="K73" s="95" t="n"/>
      <c r="L73" s="95" t="n"/>
      <c r="M73" s="95" t="n"/>
      <c r="N73" s="95" t="n"/>
      <c r="O73" s="95" t="n"/>
      <c r="P73" s="95" t="n"/>
      <c r="Q73" s="95" t="n"/>
      <c r="R73" s="95" t="n"/>
      <c r="S73" s="95" t="n"/>
      <c r="T73" s="16" t="n"/>
      <c r="U73" s="34" t="n"/>
      <c r="Y73" s="122" t="inlineStr">
        <is>
          <t>D</t>
        </is>
      </c>
      <c r="Z73" s="122" t="inlineStr">
        <is>
          <t>E</t>
        </is>
      </c>
      <c r="AA73" s="122" t="inlineStr">
        <is>
          <t>F</t>
        </is>
      </c>
      <c r="AB73" s="122" t="inlineStr">
        <is>
          <t>G</t>
        </is>
      </c>
      <c r="AC73" s="122" t="inlineStr">
        <is>
          <t>H</t>
        </is>
      </c>
      <c r="AD73" s="122" t="inlineStr">
        <is>
          <t>I</t>
        </is>
      </c>
      <c r="AE73" s="122" t="inlineStr">
        <is>
          <t>Total</t>
        </is>
      </c>
      <c r="AF73" s="122" t="n"/>
      <c r="AG73" s="122" t="inlineStr">
        <is>
          <t>Very or somewhat aligned</t>
        </is>
      </c>
      <c r="AH73" s="122" t="n"/>
      <c r="AI73" s="122" t="n"/>
      <c r="AJ73" s="122" t="n"/>
      <c r="AK73" s="122" t="n"/>
      <c r="AL73" s="122" t="n"/>
      <c r="AM73" s="122" t="n"/>
      <c r="AN73" s="122" t="n"/>
      <c r="AO73" s="122" t="n"/>
      <c r="AP73" s="122" t="n"/>
      <c r="AQ73" s="122" t="n"/>
      <c r="AR73" s="64" t="n"/>
    </row>
    <row r="74" hidden="1" outlineLevel="1" ht="24.9" customHeight="1" s="59" thickBot="1" thickTop="1">
      <c r="B74" s="189" t="n"/>
      <c r="C74" s="47" t="inlineStr">
        <is>
          <t>Alignment
(dropdown menu):</t>
        </is>
      </c>
      <c r="D74" s="24" t="n"/>
      <c r="E74" s="24" t="n"/>
      <c r="F74" s="24" t="n"/>
      <c r="G74" s="24" t="n"/>
      <c r="H74" s="24" t="n"/>
      <c r="I74" s="24" t="n"/>
      <c r="J74" s="24" t="n"/>
      <c r="K74" s="24" t="n"/>
      <c r="L74" s="24" t="n"/>
      <c r="M74" s="24" t="n"/>
      <c r="N74" s="24" t="n"/>
      <c r="O74" s="24" t="n"/>
      <c r="P74" s="24" t="n"/>
      <c r="Q74" s="24" t="n"/>
      <c r="R74" s="24" t="n"/>
      <c r="S74" s="25" t="n"/>
      <c r="U74" s="155">
        <f>IF(AE74=6,"Yes","No")</f>
        <v/>
      </c>
      <c r="V74" s="156">
        <f>CONCATENATE(AQ75,"/", AQ69)</f>
        <v/>
      </c>
      <c r="W74" s="156">
        <f>CONCATENATE(AQ74,"/", "10")</f>
        <v/>
      </c>
      <c r="Y74" s="122">
        <f>IF(OR(D74=Dropdowns!$B$1,D74=Dropdowns!$B$2),1,0)</f>
        <v/>
      </c>
      <c r="Z74" s="122">
        <f>IF(OR(E74=Dropdowns!$B$1,E74=Dropdowns!$B$2),1,0)</f>
        <v/>
      </c>
      <c r="AA74" s="122">
        <f>IF(OR(F74=Dropdowns!$B$1,F74=Dropdowns!$B$2),1,0)</f>
        <v/>
      </c>
      <c r="AB74" s="122">
        <f>IF(OR(G74=Dropdowns!$B$1,G74=Dropdowns!$B$2),1,0)</f>
        <v/>
      </c>
      <c r="AC74" s="122">
        <f>IF(OR(H74=Dropdowns!$B$1,H74=Dropdowns!$B$2),1,0)</f>
        <v/>
      </c>
      <c r="AD74" s="122">
        <f>IF(OR(I74=Dropdowns!$B$1,I74=Dropdowns!$B$2),1,0)</f>
        <v/>
      </c>
      <c r="AE74" s="122">
        <f>SUM(Y74:AD74)</f>
        <v/>
      </c>
      <c r="AF74" s="122" t="n"/>
      <c r="AG74" s="122">
        <f>IF(OR(J74=Dropdowns!$B$1,J74=Dropdowns!$B$2),1,0)</f>
        <v/>
      </c>
      <c r="AH74" s="122">
        <f>IF(OR(K74=Dropdowns!$B$1,K74=Dropdowns!$B$2),1,0)</f>
        <v/>
      </c>
      <c r="AI74" s="122">
        <f>IF(OR(L74=Dropdowns!$B$1,L74=Dropdowns!$B$2),1,0)</f>
        <v/>
      </c>
      <c r="AJ74" s="122">
        <f>IF(OR(M74=Dropdowns!$B$1,M74=Dropdowns!$B$2),1,0)</f>
        <v/>
      </c>
      <c r="AK74" s="122">
        <f>IF(OR(N74=Dropdowns!$B$1,N74=Dropdowns!$B$2),1,0)</f>
        <v/>
      </c>
      <c r="AL74" s="122">
        <f>IF(OR(O74=Dropdowns!$B$1,O74=Dropdowns!$B$2),1,0)</f>
        <v/>
      </c>
      <c r="AM74" s="122">
        <f>IF(OR(P74=Dropdowns!$B$1,P74=Dropdowns!$B$2),1,0)</f>
        <v/>
      </c>
      <c r="AN74" s="122">
        <f>IF(OR(Q74=Dropdowns!$B$1,Q74=Dropdowns!$B$2),1,0)</f>
        <v/>
      </c>
      <c r="AO74" s="122">
        <f>IF(OR(R74=Dropdowns!$B$1,R74=Dropdowns!$B$2),1,0)</f>
        <v/>
      </c>
      <c r="AP74" s="122">
        <f>IF(OR(S74=Dropdowns!$B$1,S74=Dropdowns!$B$2),1,0)</f>
        <v/>
      </c>
      <c r="AQ74" s="120">
        <f>SUM(AG74:AP74)</f>
        <v/>
      </c>
    </row>
    <row r="75" hidden="1" outlineLevel="1" ht="65.09999999999999" customHeight="1" s="59" thickBot="1" thickTop="1">
      <c r="B75" s="187" t="n"/>
      <c r="C75" s="48" t="inlineStr">
        <is>
          <t>Notes/comments on investor alignment:</t>
        </is>
      </c>
      <c r="D75" s="26" t="n"/>
      <c r="E75" s="26" t="n"/>
      <c r="F75" s="26" t="n"/>
      <c r="G75" s="26" t="n"/>
      <c r="H75" s="26" t="n"/>
      <c r="I75" s="26" t="n"/>
      <c r="J75" s="26" t="n"/>
      <c r="K75" s="26" t="n"/>
      <c r="L75" s="26" t="n"/>
      <c r="M75" s="26" t="n"/>
      <c r="N75" s="26" t="n"/>
      <c r="O75" s="26" t="n"/>
      <c r="P75" s="26" t="n"/>
      <c r="Q75" s="26" t="n"/>
      <c r="R75" s="26" t="n"/>
      <c r="S75" s="27" t="n"/>
      <c r="U75" s="188" t="n"/>
      <c r="V75" s="188" t="n"/>
      <c r="W75" s="188" t="n"/>
      <c r="Y75" s="122" t="n"/>
      <c r="Z75" s="122" t="n"/>
      <c r="AA75" s="122" t="n"/>
      <c r="AB75" s="122" t="n"/>
      <c r="AC75" s="122" t="n"/>
      <c r="AD75" s="122" t="n"/>
      <c r="AE75" s="122" t="n"/>
      <c r="AF75" s="122" t="n"/>
      <c r="AG75" s="122">
        <f>IF(AG$9=1,AG74,0)</f>
        <v/>
      </c>
      <c r="AH75" s="122">
        <f>IF(AH$9=1,AH74,0)</f>
        <v/>
      </c>
      <c r="AI75" s="122">
        <f>IF(AI$9=1,AI74,0)</f>
        <v/>
      </c>
      <c r="AJ75" s="122">
        <f>IF(AJ$9=1,AJ74,0)</f>
        <v/>
      </c>
      <c r="AK75" s="122">
        <f>IF(AK$9=1,AK74,0)</f>
        <v/>
      </c>
      <c r="AL75" s="122">
        <f>IF(AL$9=1,AL74,0)</f>
        <v/>
      </c>
      <c r="AM75" s="122">
        <f>IF(AM$9=1,AM74,0)</f>
        <v/>
      </c>
      <c r="AN75" s="122">
        <f>IF(AN$9=1,AN74,0)</f>
        <v/>
      </c>
      <c r="AO75" s="122">
        <f>IF(AO$9=1,AO74,0)</f>
        <v/>
      </c>
      <c r="AP75" s="122">
        <f>IF(AP$9=1,AP74,0)</f>
        <v/>
      </c>
      <c r="AQ75" s="120">
        <f>SUM(AG75:AP75)</f>
        <v/>
      </c>
    </row>
    <row r="76" hidden="1" outlineLevel="1" ht="6" customHeight="1" s="59" thickBot="1">
      <c r="A76" s="4" t="n"/>
      <c r="B76" s="55" t="n"/>
      <c r="C76" s="50" t="n"/>
      <c r="D76" s="96" t="n"/>
      <c r="E76" s="96" t="n"/>
      <c r="F76" s="96" t="n"/>
      <c r="G76" s="96" t="n"/>
      <c r="H76" s="96" t="n"/>
      <c r="I76" s="96" t="n"/>
      <c r="J76" s="96" t="n"/>
      <c r="K76" s="96" t="n"/>
      <c r="L76" s="96" t="n"/>
      <c r="M76" s="96" t="n"/>
      <c r="N76" s="96" t="n"/>
      <c r="O76" s="96" t="n"/>
      <c r="P76" s="96" t="n"/>
      <c r="Q76" s="96" t="n"/>
      <c r="R76" s="96" t="n"/>
      <c r="S76" s="96" t="n"/>
      <c r="U76" s="35" t="n"/>
      <c r="Y76" s="122" t="inlineStr">
        <is>
          <t>D</t>
        </is>
      </c>
      <c r="Z76" s="122" t="inlineStr">
        <is>
          <t>E</t>
        </is>
      </c>
      <c r="AA76" s="122" t="inlineStr">
        <is>
          <t>F</t>
        </is>
      </c>
      <c r="AB76" s="122" t="inlineStr">
        <is>
          <t>G</t>
        </is>
      </c>
      <c r="AC76" s="122" t="inlineStr">
        <is>
          <t>H</t>
        </is>
      </c>
      <c r="AD76" s="122" t="inlineStr">
        <is>
          <t>I</t>
        </is>
      </c>
      <c r="AE76" s="122" t="inlineStr">
        <is>
          <t>Total</t>
        </is>
      </c>
      <c r="AF76" s="122" t="n"/>
      <c r="AG76" s="122" t="inlineStr">
        <is>
          <t>Very or somewhat aligned</t>
        </is>
      </c>
      <c r="AH76" s="122" t="n"/>
      <c r="AI76" s="122" t="n"/>
      <c r="AJ76" s="122" t="n"/>
      <c r="AK76" s="122" t="n"/>
      <c r="AL76" s="122" t="n"/>
      <c r="AM76" s="122" t="n"/>
      <c r="AN76" s="122" t="n"/>
      <c r="AO76" s="122" t="n"/>
      <c r="AP76" s="122" t="n"/>
      <c r="AQ76" s="122" t="n"/>
    </row>
    <row r="77" hidden="1" outlineLevel="1" ht="24.9" customHeight="1" s="59" thickBot="1" thickTop="1">
      <c r="B77" s="189" t="n"/>
      <c r="C77" s="47" t="inlineStr">
        <is>
          <t>Alignment
(dropdown menu):</t>
        </is>
      </c>
      <c r="D77" s="24" t="n"/>
      <c r="E77" s="24" t="n"/>
      <c r="F77" s="24" t="n"/>
      <c r="G77" s="24" t="n"/>
      <c r="H77" s="24" t="n"/>
      <c r="I77" s="24" t="n"/>
      <c r="J77" s="24" t="n"/>
      <c r="K77" s="24" t="n"/>
      <c r="L77" s="24" t="n"/>
      <c r="M77" s="24" t="n"/>
      <c r="N77" s="24" t="n"/>
      <c r="O77" s="24" t="n"/>
      <c r="P77" s="24" t="n"/>
      <c r="Q77" s="24" t="n"/>
      <c r="R77" s="24" t="n"/>
      <c r="S77" s="25" t="n"/>
      <c r="U77" s="155">
        <f>IF(AE77=6,"Yes","No")</f>
        <v/>
      </c>
      <c r="V77" s="156">
        <f>CONCATENATE(AQ78,"/", AQ69)</f>
        <v/>
      </c>
      <c r="W77" s="156">
        <f>CONCATENATE(AQ77,"/", "10")</f>
        <v/>
      </c>
      <c r="Y77" s="122">
        <f>IF(OR(D77=Dropdowns!$B$1,D77=Dropdowns!$B$2),1,0)</f>
        <v/>
      </c>
      <c r="Z77" s="122">
        <f>IF(OR(E77=Dropdowns!$B$1,E77=Dropdowns!$B$2),1,0)</f>
        <v/>
      </c>
      <c r="AA77" s="122">
        <f>IF(OR(F77=Dropdowns!$B$1,F77=Dropdowns!$B$2),1,0)</f>
        <v/>
      </c>
      <c r="AB77" s="122">
        <f>IF(OR(G77=Dropdowns!$B$1,G77=Dropdowns!$B$2),1,0)</f>
        <v/>
      </c>
      <c r="AC77" s="122">
        <f>IF(OR(H77=Dropdowns!$B$1,H77=Dropdowns!$B$2),1,0)</f>
        <v/>
      </c>
      <c r="AD77" s="122">
        <f>IF(OR(I77=Dropdowns!$B$1,I77=Dropdowns!$B$2),1,0)</f>
        <v/>
      </c>
      <c r="AE77" s="122">
        <f>SUM(Y77:AD77)</f>
        <v/>
      </c>
      <c r="AF77" s="122" t="n"/>
      <c r="AG77" s="122">
        <f>IF(OR(J77=Dropdowns!$B$1,J77=Dropdowns!$B$2),1,0)</f>
        <v/>
      </c>
      <c r="AH77" s="122">
        <f>IF(OR(K77=Dropdowns!$B$1,K77=Dropdowns!$B$2),1,0)</f>
        <v/>
      </c>
      <c r="AI77" s="122">
        <f>IF(OR(L77=Dropdowns!$B$1,L77=Dropdowns!$B$2),1,0)</f>
        <v/>
      </c>
      <c r="AJ77" s="122">
        <f>IF(OR(M77=Dropdowns!$B$1,M77=Dropdowns!$B$2),1,0)</f>
        <v/>
      </c>
      <c r="AK77" s="122">
        <f>IF(OR(N77=Dropdowns!$B$1,N77=Dropdowns!$B$2),1,0)</f>
        <v/>
      </c>
      <c r="AL77" s="122">
        <f>IF(OR(O77=Dropdowns!$B$1,O77=Dropdowns!$B$2),1,0)</f>
        <v/>
      </c>
      <c r="AM77" s="122">
        <f>IF(OR(P77=Dropdowns!$B$1,P77=Dropdowns!$B$2),1,0)</f>
        <v/>
      </c>
      <c r="AN77" s="122">
        <f>IF(OR(Q77=Dropdowns!$B$1,Q77=Dropdowns!$B$2),1,0)</f>
        <v/>
      </c>
      <c r="AO77" s="122">
        <f>IF(OR(R77=Dropdowns!$B$1,R77=Dropdowns!$B$2),1,0)</f>
        <v/>
      </c>
      <c r="AP77" s="122">
        <f>IF(OR(S77=Dropdowns!$B$1,S77=Dropdowns!$B$2),1,0)</f>
        <v/>
      </c>
      <c r="AQ77" s="120">
        <f>SUM(AG77:AP77)</f>
        <v/>
      </c>
    </row>
    <row r="78" hidden="1" outlineLevel="1" ht="65.09999999999999" customHeight="1" s="59" thickBot="1" thickTop="1">
      <c r="B78" s="187" t="n"/>
      <c r="C78" s="48" t="inlineStr">
        <is>
          <t>Notes/comments on investor alignment:</t>
        </is>
      </c>
      <c r="D78" s="26" t="n"/>
      <c r="E78" s="26" t="n"/>
      <c r="F78" s="26" t="n"/>
      <c r="G78" s="26" t="n"/>
      <c r="H78" s="26" t="n"/>
      <c r="I78" s="26" t="n"/>
      <c r="J78" s="26" t="n"/>
      <c r="K78" s="26" t="n"/>
      <c r="L78" s="26" t="n"/>
      <c r="M78" s="26" t="n"/>
      <c r="N78" s="26" t="n"/>
      <c r="O78" s="26" t="n"/>
      <c r="P78" s="26" t="n"/>
      <c r="Q78" s="26" t="n"/>
      <c r="R78" s="26" t="n"/>
      <c r="S78" s="27" t="n"/>
      <c r="U78" s="188" t="n"/>
      <c r="V78" s="188" t="n"/>
      <c r="W78" s="188" t="n"/>
      <c r="Y78" s="122" t="n"/>
      <c r="Z78" s="122" t="n"/>
      <c r="AA78" s="122" t="n"/>
      <c r="AB78" s="122" t="n"/>
      <c r="AC78" s="122" t="n"/>
      <c r="AD78" s="122" t="n"/>
      <c r="AE78" s="122" t="n"/>
      <c r="AF78" s="122" t="n"/>
      <c r="AG78" s="122">
        <f>IF(AG$9=1,AG77,0)</f>
        <v/>
      </c>
      <c r="AH78" s="122">
        <f>IF(AH$9=1,AH77,0)</f>
        <v/>
      </c>
      <c r="AI78" s="122">
        <f>IF(AI$9=1,AI77,0)</f>
        <v/>
      </c>
      <c r="AJ78" s="122">
        <f>IF(AJ$9=1,AJ77,0)</f>
        <v/>
      </c>
      <c r="AK78" s="122">
        <f>IF(AK$9=1,AK77,0)</f>
        <v/>
      </c>
      <c r="AL78" s="122">
        <f>IF(AL$9=1,AL77,0)</f>
        <v/>
      </c>
      <c r="AM78" s="122">
        <f>IF(AM$9=1,AM77,0)</f>
        <v/>
      </c>
      <c r="AN78" s="122">
        <f>IF(AN$9=1,AN77,0)</f>
        <v/>
      </c>
      <c r="AO78" s="122">
        <f>IF(AO$9=1,AO77,0)</f>
        <v/>
      </c>
      <c r="AP78" s="122">
        <f>IF(AP$9=1,AP77,0)</f>
        <v/>
      </c>
      <c r="AQ78" s="120">
        <f>SUM(AG78:AP78)</f>
        <v/>
      </c>
    </row>
    <row r="79" hidden="1" outlineLevel="1" ht="6" customHeight="1" s="59" thickBot="1">
      <c r="A79" s="4" t="n"/>
      <c r="B79" s="55" t="n"/>
      <c r="C79" s="50" t="n"/>
      <c r="D79" s="95" t="n"/>
      <c r="E79" s="95" t="n"/>
      <c r="F79" s="95" t="n"/>
      <c r="G79" s="95" t="n"/>
      <c r="H79" s="95" t="n"/>
      <c r="I79" s="95" t="n"/>
      <c r="J79" s="95" t="n"/>
      <c r="K79" s="95" t="n"/>
      <c r="L79" s="95" t="n"/>
      <c r="M79" s="95" t="n"/>
      <c r="N79" s="95" t="n"/>
      <c r="O79" s="95" t="n"/>
      <c r="P79" s="95" t="n"/>
      <c r="Q79" s="95" t="n"/>
      <c r="R79" s="95" t="n"/>
      <c r="S79" s="95" t="n"/>
      <c r="U79" s="35" t="n"/>
      <c r="Y79" s="122" t="inlineStr">
        <is>
          <t>D</t>
        </is>
      </c>
      <c r="Z79" s="122" t="inlineStr">
        <is>
          <t>E</t>
        </is>
      </c>
      <c r="AA79" s="122" t="inlineStr">
        <is>
          <t>F</t>
        </is>
      </c>
      <c r="AB79" s="122" t="inlineStr">
        <is>
          <t>G</t>
        </is>
      </c>
      <c r="AC79" s="122" t="inlineStr">
        <is>
          <t>H</t>
        </is>
      </c>
      <c r="AD79" s="122" t="inlineStr">
        <is>
          <t>I</t>
        </is>
      </c>
      <c r="AE79" s="122" t="inlineStr">
        <is>
          <t>Total</t>
        </is>
      </c>
      <c r="AF79" s="122" t="n"/>
      <c r="AG79" s="122" t="inlineStr">
        <is>
          <t>Very or somewhat aligned</t>
        </is>
      </c>
      <c r="AH79" s="122" t="n"/>
      <c r="AI79" s="122" t="n"/>
      <c r="AJ79" s="122" t="n"/>
      <c r="AK79" s="122" t="n"/>
      <c r="AL79" s="122" t="n"/>
      <c r="AM79" s="122" t="n"/>
      <c r="AN79" s="122" t="n"/>
      <c r="AO79" s="122" t="n"/>
      <c r="AP79" s="122" t="n"/>
      <c r="AQ79" s="122" t="n"/>
    </row>
    <row r="80" hidden="1" outlineLevel="1" ht="24.9" customHeight="1" s="59" thickBot="1" thickTop="1">
      <c r="B80" s="189" t="n"/>
      <c r="C80" s="47" t="inlineStr">
        <is>
          <t>Alignment
(dropdown menu):</t>
        </is>
      </c>
      <c r="D80" s="24" t="n"/>
      <c r="E80" s="24" t="n"/>
      <c r="F80" s="24" t="n"/>
      <c r="G80" s="24" t="n"/>
      <c r="H80" s="24" t="n"/>
      <c r="I80" s="24" t="n"/>
      <c r="J80" s="24" t="n"/>
      <c r="K80" s="24" t="n"/>
      <c r="L80" s="24" t="n"/>
      <c r="M80" s="24" t="n"/>
      <c r="N80" s="24" t="n"/>
      <c r="O80" s="24" t="n"/>
      <c r="P80" s="24" t="n"/>
      <c r="Q80" s="24" t="n"/>
      <c r="R80" s="24" t="n"/>
      <c r="S80" s="25" t="n"/>
      <c r="U80" s="155">
        <f>IF(AE80=6,"Yes","No")</f>
        <v/>
      </c>
      <c r="V80" s="156">
        <f>CONCATENATE(AQ81,"/", AQ69)</f>
        <v/>
      </c>
      <c r="W80" s="156">
        <f>CONCATENATE(AQ80,"/", "10")</f>
        <v/>
      </c>
      <c r="Y80" s="122">
        <f>IF(OR(D80=Dropdowns!$B$1,D80=Dropdowns!$B$2),1,0)</f>
        <v/>
      </c>
      <c r="Z80" s="122">
        <f>IF(OR(E80=Dropdowns!$B$1,E80=Dropdowns!$B$2),1,0)</f>
        <v/>
      </c>
      <c r="AA80" s="122">
        <f>IF(OR(F80=Dropdowns!$B$1,F80=Dropdowns!$B$2),1,0)</f>
        <v/>
      </c>
      <c r="AB80" s="122">
        <f>IF(OR(G80=Dropdowns!$B$1,G80=Dropdowns!$B$2),1,0)</f>
        <v/>
      </c>
      <c r="AC80" s="122">
        <f>IF(OR(H80=Dropdowns!$B$1,H80=Dropdowns!$B$2),1,0)</f>
        <v/>
      </c>
      <c r="AD80" s="122">
        <f>IF(OR(I80=Dropdowns!$B$1,I80=Dropdowns!$B$2),1,0)</f>
        <v/>
      </c>
      <c r="AE80" s="122">
        <f>SUM(Y80:AD80)</f>
        <v/>
      </c>
      <c r="AF80" s="122" t="n"/>
      <c r="AG80" s="122">
        <f>IF(OR(J80=Dropdowns!$B$1,J80=Dropdowns!$B$2),1,0)</f>
        <v/>
      </c>
      <c r="AH80" s="122">
        <f>IF(OR(K80=Dropdowns!$B$1,K80=Dropdowns!$B$2),1,0)</f>
        <v/>
      </c>
      <c r="AI80" s="122">
        <f>IF(OR(L80=Dropdowns!$B$1,L80=Dropdowns!$B$2),1,0)</f>
        <v/>
      </c>
      <c r="AJ80" s="122">
        <f>IF(OR(M80=Dropdowns!$B$1,M80=Dropdowns!$B$2),1,0)</f>
        <v/>
      </c>
      <c r="AK80" s="122">
        <f>IF(OR(N80=Dropdowns!$B$1,N80=Dropdowns!$B$2),1,0)</f>
        <v/>
      </c>
      <c r="AL80" s="122">
        <f>IF(OR(O80=Dropdowns!$B$1,O80=Dropdowns!$B$2),1,0)</f>
        <v/>
      </c>
      <c r="AM80" s="122">
        <f>IF(OR(P80=Dropdowns!$B$1,P80=Dropdowns!$B$2),1,0)</f>
        <v/>
      </c>
      <c r="AN80" s="122">
        <f>IF(OR(Q80=Dropdowns!$B$1,Q80=Dropdowns!$B$2),1,0)</f>
        <v/>
      </c>
      <c r="AO80" s="122">
        <f>IF(OR(R80=Dropdowns!$B$1,R80=Dropdowns!$B$2),1,0)</f>
        <v/>
      </c>
      <c r="AP80" s="122">
        <f>IF(OR(S80=Dropdowns!$B$1,S80=Dropdowns!$B$2),1,0)</f>
        <v/>
      </c>
      <c r="AQ80" s="120">
        <f>SUM(AG80:AP80)</f>
        <v/>
      </c>
    </row>
    <row r="81" hidden="1" outlineLevel="1" ht="65.09999999999999" customHeight="1" s="59" thickBot="1" thickTop="1">
      <c r="B81" s="187" t="n"/>
      <c r="C81" s="48" t="inlineStr">
        <is>
          <t>Notes/comments on investor alignment:</t>
        </is>
      </c>
      <c r="D81" s="26" t="n"/>
      <c r="E81" s="26" t="n"/>
      <c r="F81" s="26" t="n"/>
      <c r="G81" s="26" t="n"/>
      <c r="H81" s="26" t="n"/>
      <c r="I81" s="26" t="n"/>
      <c r="J81" s="26" t="n"/>
      <c r="K81" s="26" t="n"/>
      <c r="L81" s="26" t="n"/>
      <c r="M81" s="26" t="n"/>
      <c r="N81" s="26" t="n"/>
      <c r="O81" s="26" t="n"/>
      <c r="P81" s="26" t="n"/>
      <c r="Q81" s="26" t="n"/>
      <c r="R81" s="26" t="n"/>
      <c r="S81" s="27" t="n"/>
      <c r="U81" s="188" t="n"/>
      <c r="V81" s="188" t="n"/>
      <c r="W81" s="188" t="n"/>
      <c r="Y81" s="122" t="n"/>
      <c r="Z81" s="122" t="n"/>
      <c r="AA81" s="122" t="n"/>
      <c r="AB81" s="122" t="n"/>
      <c r="AC81" s="122" t="n"/>
      <c r="AD81" s="122" t="n"/>
      <c r="AE81" s="122" t="n"/>
      <c r="AF81" s="122" t="n"/>
      <c r="AG81" s="122">
        <f>IF(AG$9=1,AG80,0)</f>
        <v/>
      </c>
      <c r="AH81" s="122">
        <f>IF(AH$9=1,AH80,0)</f>
        <v/>
      </c>
      <c r="AI81" s="122">
        <f>IF(AI$9=1,AI80,0)</f>
        <v/>
      </c>
      <c r="AJ81" s="122">
        <f>IF(AJ$9=1,AJ80,0)</f>
        <v/>
      </c>
      <c r="AK81" s="122">
        <f>IF(AK$9=1,AK80,0)</f>
        <v/>
      </c>
      <c r="AL81" s="122">
        <f>IF(AL$9=1,AL80,0)</f>
        <v/>
      </c>
      <c r="AM81" s="122">
        <f>IF(AM$9=1,AM80,0)</f>
        <v/>
      </c>
      <c r="AN81" s="122">
        <f>IF(AN$9=1,AN80,0)</f>
        <v/>
      </c>
      <c r="AO81" s="122">
        <f>IF(AO$9=1,AO80,0)</f>
        <v/>
      </c>
      <c r="AP81" s="122">
        <f>IF(AP$9=1,AP80,0)</f>
        <v/>
      </c>
      <c r="AQ81" s="120">
        <f>SUM(AG81:AP81)</f>
        <v/>
      </c>
    </row>
    <row r="82" hidden="1" outlineLevel="1" ht="6" customHeight="1" s="59" thickBot="1">
      <c r="A82" s="4" t="n"/>
      <c r="B82" s="55" t="n"/>
      <c r="C82" s="50" t="n"/>
      <c r="D82" s="95" t="n"/>
      <c r="E82" s="95" t="n"/>
      <c r="F82" s="95" t="n"/>
      <c r="G82" s="95" t="n"/>
      <c r="H82" s="95" t="n"/>
      <c r="I82" s="95" t="n"/>
      <c r="J82" s="95" t="n"/>
      <c r="K82" s="95" t="n"/>
      <c r="L82" s="95" t="n"/>
      <c r="M82" s="95" t="n"/>
      <c r="N82" s="95" t="n"/>
      <c r="O82" s="95" t="n"/>
      <c r="P82" s="95" t="n"/>
      <c r="Q82" s="95" t="n"/>
      <c r="R82" s="95" t="n"/>
      <c r="S82" s="95" t="n"/>
      <c r="U82" s="35" t="n"/>
      <c r="Y82" s="122" t="inlineStr">
        <is>
          <t>D</t>
        </is>
      </c>
      <c r="Z82" s="122" t="inlineStr">
        <is>
          <t>E</t>
        </is>
      </c>
      <c r="AA82" s="122" t="inlineStr">
        <is>
          <t>F</t>
        </is>
      </c>
      <c r="AB82" s="122" t="inlineStr">
        <is>
          <t>G</t>
        </is>
      </c>
      <c r="AC82" s="122" t="inlineStr">
        <is>
          <t>H</t>
        </is>
      </c>
      <c r="AD82" s="122" t="inlineStr">
        <is>
          <t>I</t>
        </is>
      </c>
      <c r="AE82" s="122" t="inlineStr">
        <is>
          <t>Total</t>
        </is>
      </c>
      <c r="AF82" s="122" t="n"/>
      <c r="AG82" s="122" t="inlineStr">
        <is>
          <t>Very or somewhat aligned</t>
        </is>
      </c>
      <c r="AH82" s="122" t="n"/>
      <c r="AI82" s="122" t="n"/>
      <c r="AJ82" s="122" t="n"/>
      <c r="AK82" s="122" t="n"/>
      <c r="AL82" s="122" t="n"/>
      <c r="AM82" s="122" t="n"/>
      <c r="AN82" s="122" t="n"/>
      <c r="AO82" s="122" t="n"/>
      <c r="AP82" s="122" t="n"/>
      <c r="AQ82" s="122" t="n"/>
    </row>
    <row r="83" hidden="1" outlineLevel="1" ht="24.9" customHeight="1" s="59" thickBot="1" thickTop="1">
      <c r="B83" s="189" t="n"/>
      <c r="C83" s="47" t="inlineStr">
        <is>
          <t>Alignment
(dropdown menu):</t>
        </is>
      </c>
      <c r="D83" s="24" t="n"/>
      <c r="E83" s="24" t="n"/>
      <c r="F83" s="24" t="n"/>
      <c r="G83" s="24" t="n"/>
      <c r="H83" s="24" t="n"/>
      <c r="I83" s="24" t="n"/>
      <c r="J83" s="24" t="n"/>
      <c r="K83" s="24" t="n"/>
      <c r="L83" s="24" t="n"/>
      <c r="M83" s="24" t="n"/>
      <c r="N83" s="24" t="n"/>
      <c r="O83" s="24" t="n"/>
      <c r="P83" s="24" t="n"/>
      <c r="Q83" s="24" t="n"/>
      <c r="R83" s="24" t="n"/>
      <c r="S83" s="25" t="n"/>
      <c r="U83" s="155">
        <f>IF(AE83=6,"Yes","No")</f>
        <v/>
      </c>
      <c r="V83" s="156">
        <f>CONCATENATE(AQ84,"/", AQ69)</f>
        <v/>
      </c>
      <c r="W83" s="156">
        <f>CONCATENATE(AQ83,"/", "10")</f>
        <v/>
      </c>
      <c r="Y83" s="122">
        <f>IF(OR(D83=Dropdowns!$B$1,D83=Dropdowns!$B$2),1,0)</f>
        <v/>
      </c>
      <c r="Z83" s="122">
        <f>IF(OR(E83=Dropdowns!$B$1,E83=Dropdowns!$B$2),1,0)</f>
        <v/>
      </c>
      <c r="AA83" s="122">
        <f>IF(OR(F83=Dropdowns!$B$1,F83=Dropdowns!$B$2),1,0)</f>
        <v/>
      </c>
      <c r="AB83" s="122">
        <f>IF(OR(G83=Dropdowns!$B$1,G83=Dropdowns!$B$2),1,0)</f>
        <v/>
      </c>
      <c r="AC83" s="122">
        <f>IF(OR(H83=Dropdowns!$B$1,H83=Dropdowns!$B$2),1,0)</f>
        <v/>
      </c>
      <c r="AD83" s="122">
        <f>IF(OR(I83=Dropdowns!$B$1,I83=Dropdowns!$B$2),1,0)</f>
        <v/>
      </c>
      <c r="AE83" s="122">
        <f>SUM(Y83:AD83)</f>
        <v/>
      </c>
      <c r="AF83" s="122" t="n"/>
      <c r="AG83" s="122">
        <f>IF(OR(J83=Dropdowns!$B$1,J83=Dropdowns!$B$2),1,0)</f>
        <v/>
      </c>
      <c r="AH83" s="122">
        <f>IF(OR(K83=Dropdowns!$B$1,K83=Dropdowns!$B$2),1,0)</f>
        <v/>
      </c>
      <c r="AI83" s="122">
        <f>IF(OR(L83=Dropdowns!$B$1,L83=Dropdowns!$B$2),1,0)</f>
        <v/>
      </c>
      <c r="AJ83" s="122">
        <f>IF(OR(M83=Dropdowns!$B$1,M83=Dropdowns!$B$2),1,0)</f>
        <v/>
      </c>
      <c r="AK83" s="122">
        <f>IF(OR(N83=Dropdowns!$B$1,N83=Dropdowns!$B$2),1,0)</f>
        <v/>
      </c>
      <c r="AL83" s="122">
        <f>IF(OR(O83=Dropdowns!$B$1,O83=Dropdowns!$B$2),1,0)</f>
        <v/>
      </c>
      <c r="AM83" s="122">
        <f>IF(OR(P83=Dropdowns!$B$1,P83=Dropdowns!$B$2),1,0)</f>
        <v/>
      </c>
      <c r="AN83" s="122">
        <f>IF(OR(Q83=Dropdowns!$B$1,Q83=Dropdowns!$B$2),1,0)</f>
        <v/>
      </c>
      <c r="AO83" s="122">
        <f>IF(OR(R83=Dropdowns!$B$1,R83=Dropdowns!$B$2),1,0)</f>
        <v/>
      </c>
      <c r="AP83" s="122">
        <f>IF(OR(S83=Dropdowns!$B$1,S83=Dropdowns!$B$2),1,0)</f>
        <v/>
      </c>
      <c r="AQ83" s="120">
        <f>SUM(AG83:AP83)</f>
        <v/>
      </c>
    </row>
    <row r="84" hidden="1" outlineLevel="1" ht="65.09999999999999" customHeight="1" s="59" thickBot="1" thickTop="1">
      <c r="B84" s="187" t="n"/>
      <c r="C84" s="48" t="inlineStr">
        <is>
          <t>Notes/comments on investor alignment:</t>
        </is>
      </c>
      <c r="D84" s="26" t="n"/>
      <c r="E84" s="26" t="n"/>
      <c r="F84" s="26" t="n"/>
      <c r="G84" s="26" t="n"/>
      <c r="H84" s="26" t="n"/>
      <c r="I84" s="26" t="n"/>
      <c r="J84" s="26" t="n"/>
      <c r="K84" s="26" t="n"/>
      <c r="L84" s="26" t="n"/>
      <c r="M84" s="26" t="n"/>
      <c r="N84" s="26" t="n"/>
      <c r="O84" s="26" t="n"/>
      <c r="P84" s="26" t="n"/>
      <c r="Q84" s="26" t="n"/>
      <c r="R84" s="26" t="n"/>
      <c r="S84" s="27" t="n"/>
      <c r="U84" s="188" t="n"/>
      <c r="V84" s="188" t="n"/>
      <c r="W84" s="188" t="n"/>
      <c r="Y84" s="122" t="n"/>
      <c r="Z84" s="122" t="n"/>
      <c r="AA84" s="122" t="n"/>
      <c r="AB84" s="122" t="n"/>
      <c r="AC84" s="122" t="n"/>
      <c r="AD84" s="122" t="n"/>
      <c r="AE84" s="122" t="n"/>
      <c r="AF84" s="122" t="n"/>
      <c r="AG84" s="122">
        <f>IF(AG$9=1,AG83,0)</f>
        <v/>
      </c>
      <c r="AH84" s="122">
        <f>IF(AH$9=1,AH83,0)</f>
        <v/>
      </c>
      <c r="AI84" s="122">
        <f>IF(AI$9=1,AI83,0)</f>
        <v/>
      </c>
      <c r="AJ84" s="122">
        <f>IF(AJ$9=1,AJ83,0)</f>
        <v/>
      </c>
      <c r="AK84" s="122">
        <f>IF(AK$9=1,AK83,0)</f>
        <v/>
      </c>
      <c r="AL84" s="122">
        <f>IF(AL$9=1,AL83,0)</f>
        <v/>
      </c>
      <c r="AM84" s="122">
        <f>IF(AM$9=1,AM83,0)</f>
        <v/>
      </c>
      <c r="AN84" s="122">
        <f>IF(AN$9=1,AN83,0)</f>
        <v/>
      </c>
      <c r="AO84" s="122">
        <f>IF(AO$9=1,AO83,0)</f>
        <v/>
      </c>
      <c r="AP84" s="122">
        <f>IF(AP$9=1,AP83,0)</f>
        <v/>
      </c>
      <c r="AQ84" s="120">
        <f>SUM(AG84:AP84)</f>
        <v/>
      </c>
    </row>
    <row r="85" hidden="1" outlineLevel="1" ht="6" customHeight="1" s="59" thickBot="1">
      <c r="A85" s="4" t="n"/>
      <c r="B85" s="55" t="n"/>
      <c r="C85" s="50" t="n"/>
      <c r="D85" s="95" t="n"/>
      <c r="E85" s="95" t="n"/>
      <c r="F85" s="95" t="n"/>
      <c r="G85" s="95" t="n"/>
      <c r="H85" s="95" t="n"/>
      <c r="I85" s="95" t="n"/>
      <c r="J85" s="95" t="n"/>
      <c r="K85" s="95" t="n"/>
      <c r="L85" s="95" t="n"/>
      <c r="M85" s="95" t="n"/>
      <c r="N85" s="95" t="n"/>
      <c r="O85" s="95" t="n"/>
      <c r="P85" s="95" t="n"/>
      <c r="Q85" s="95" t="n"/>
      <c r="R85" s="95" t="n"/>
      <c r="S85" s="95" t="n"/>
      <c r="U85" s="35" t="n"/>
      <c r="Y85" s="122" t="inlineStr">
        <is>
          <t>D</t>
        </is>
      </c>
      <c r="Z85" s="122" t="inlineStr">
        <is>
          <t>E</t>
        </is>
      </c>
      <c r="AA85" s="122" t="inlineStr">
        <is>
          <t>F</t>
        </is>
      </c>
      <c r="AB85" s="122" t="inlineStr">
        <is>
          <t>G</t>
        </is>
      </c>
      <c r="AC85" s="122" t="inlineStr">
        <is>
          <t>H</t>
        </is>
      </c>
      <c r="AD85" s="122" t="inlineStr">
        <is>
          <t>I</t>
        </is>
      </c>
      <c r="AE85" s="122" t="inlineStr">
        <is>
          <t>Total</t>
        </is>
      </c>
      <c r="AF85" s="122" t="n"/>
      <c r="AG85" s="122" t="inlineStr">
        <is>
          <t>Very or somewhat aligned</t>
        </is>
      </c>
      <c r="AH85" s="122" t="n"/>
      <c r="AI85" s="122" t="n"/>
      <c r="AJ85" s="122" t="n"/>
      <c r="AK85" s="122" t="n"/>
      <c r="AL85" s="122" t="n"/>
      <c r="AM85" s="122" t="n"/>
      <c r="AN85" s="122" t="n"/>
      <c r="AO85" s="122" t="n"/>
      <c r="AP85" s="122" t="n"/>
      <c r="AQ85" s="122" t="n"/>
    </row>
    <row r="86" hidden="1" outlineLevel="1" ht="24.9" customHeight="1" s="59" thickBot="1" thickTop="1">
      <c r="B86" s="189" t="n"/>
      <c r="C86" s="47" t="inlineStr">
        <is>
          <t>Alignment
(dropdown menu):</t>
        </is>
      </c>
      <c r="D86" s="24" t="n"/>
      <c r="E86" s="24" t="n"/>
      <c r="F86" s="24" t="n"/>
      <c r="G86" s="24" t="n"/>
      <c r="H86" s="24" t="n"/>
      <c r="I86" s="24" t="n"/>
      <c r="J86" s="24" t="n"/>
      <c r="K86" s="24" t="n"/>
      <c r="L86" s="24" t="n"/>
      <c r="M86" s="24" t="n"/>
      <c r="N86" s="24" t="n"/>
      <c r="O86" s="24" t="n"/>
      <c r="P86" s="24" t="n"/>
      <c r="Q86" s="24" t="n"/>
      <c r="R86" s="24" t="n"/>
      <c r="S86" s="25" t="n"/>
      <c r="U86" s="155">
        <f>IF(AE86=6,"Yes","No")</f>
        <v/>
      </c>
      <c r="V86" s="156">
        <f>CONCATENATE(AQ87,"/", AQ69)</f>
        <v/>
      </c>
      <c r="W86" s="156">
        <f>CONCATENATE(AQ86,"/", "10")</f>
        <v/>
      </c>
      <c r="Y86" s="122">
        <f>IF(OR(D86=Dropdowns!$B$1,D86=Dropdowns!$B$2),1,0)</f>
        <v/>
      </c>
      <c r="Z86" s="122">
        <f>IF(OR(E86=Dropdowns!$B$1,E86=Dropdowns!$B$2),1,0)</f>
        <v/>
      </c>
      <c r="AA86" s="122">
        <f>IF(OR(F86=Dropdowns!$B$1,F86=Dropdowns!$B$2),1,0)</f>
        <v/>
      </c>
      <c r="AB86" s="122">
        <f>IF(OR(G86=Dropdowns!$B$1,G86=Dropdowns!$B$2),1,0)</f>
        <v/>
      </c>
      <c r="AC86" s="122">
        <f>IF(OR(H86=Dropdowns!$B$1,H86=Dropdowns!$B$2),1,0)</f>
        <v/>
      </c>
      <c r="AD86" s="122">
        <f>IF(OR(I86=Dropdowns!$B$1,I86=Dropdowns!$B$2),1,0)</f>
        <v/>
      </c>
      <c r="AE86" s="122">
        <f>SUM(Y86:AD86)</f>
        <v/>
      </c>
      <c r="AF86" s="122" t="n"/>
      <c r="AG86" s="122">
        <f>IF(OR(J86=Dropdowns!$B$1,J86=Dropdowns!$B$2),1,0)</f>
        <v/>
      </c>
      <c r="AH86" s="122">
        <f>IF(OR(K86=Dropdowns!$B$1,K86=Dropdowns!$B$2),1,0)</f>
        <v/>
      </c>
      <c r="AI86" s="122">
        <f>IF(OR(L86=Dropdowns!$B$1,L86=Dropdowns!$B$2),1,0)</f>
        <v/>
      </c>
      <c r="AJ86" s="122">
        <f>IF(OR(M86=Dropdowns!$B$1,M86=Dropdowns!$B$2),1,0)</f>
        <v/>
      </c>
      <c r="AK86" s="122">
        <f>IF(OR(N86=Dropdowns!$B$1,N86=Dropdowns!$B$2),1,0)</f>
        <v/>
      </c>
      <c r="AL86" s="122">
        <f>IF(OR(O86=Dropdowns!$B$1,O86=Dropdowns!$B$2),1,0)</f>
        <v/>
      </c>
      <c r="AM86" s="122">
        <f>IF(OR(P86=Dropdowns!$B$1,P86=Dropdowns!$B$2),1,0)</f>
        <v/>
      </c>
      <c r="AN86" s="122">
        <f>IF(OR(Q86=Dropdowns!$B$1,Q86=Dropdowns!$B$2),1,0)</f>
        <v/>
      </c>
      <c r="AO86" s="122">
        <f>IF(OR(R86=Dropdowns!$B$1,R86=Dropdowns!$B$2),1,0)</f>
        <v/>
      </c>
      <c r="AP86" s="122">
        <f>IF(OR(S86=Dropdowns!$B$1,S86=Dropdowns!$B$2),1,0)</f>
        <v/>
      </c>
      <c r="AQ86" s="120">
        <f>SUM(AG86:AP86)</f>
        <v/>
      </c>
    </row>
    <row r="87" hidden="1" outlineLevel="1" ht="65.09999999999999" customHeight="1" s="59" thickBot="1" thickTop="1">
      <c r="B87" s="187" t="n"/>
      <c r="C87" s="48" t="inlineStr">
        <is>
          <t>Notes/comments on investor alignment:</t>
        </is>
      </c>
      <c r="D87" s="26" t="n"/>
      <c r="E87" s="26" t="n"/>
      <c r="F87" s="26" t="n"/>
      <c r="G87" s="26" t="n"/>
      <c r="H87" s="26" t="n"/>
      <c r="I87" s="26" t="n"/>
      <c r="J87" s="26" t="n"/>
      <c r="K87" s="26" t="n"/>
      <c r="L87" s="26" t="n"/>
      <c r="M87" s="26" t="n"/>
      <c r="N87" s="26" t="n"/>
      <c r="O87" s="26" t="n"/>
      <c r="P87" s="26" t="n"/>
      <c r="Q87" s="26" t="n"/>
      <c r="R87" s="26" t="n"/>
      <c r="S87" s="27" t="n"/>
      <c r="U87" s="188" t="n"/>
      <c r="V87" s="188" t="n"/>
      <c r="W87" s="188" t="n"/>
      <c r="Y87" s="122" t="n"/>
      <c r="Z87" s="122" t="n"/>
      <c r="AA87" s="122" t="n"/>
      <c r="AB87" s="122" t="n"/>
      <c r="AC87" s="122" t="n"/>
      <c r="AD87" s="122" t="n"/>
      <c r="AE87" s="122" t="n"/>
      <c r="AF87" s="122" t="n"/>
      <c r="AG87" s="122">
        <f>IF(AG$9=1,AG86,0)</f>
        <v/>
      </c>
      <c r="AH87" s="122">
        <f>IF(AH$9=1,AH86,0)</f>
        <v/>
      </c>
      <c r="AI87" s="122">
        <f>IF(AI$9=1,AI86,0)</f>
        <v/>
      </c>
      <c r="AJ87" s="122">
        <f>IF(AJ$9=1,AJ86,0)</f>
        <v/>
      </c>
      <c r="AK87" s="122">
        <f>IF(AK$9=1,AK86,0)</f>
        <v/>
      </c>
      <c r="AL87" s="122">
        <f>IF(AL$9=1,AL86,0)</f>
        <v/>
      </c>
      <c r="AM87" s="122">
        <f>IF(AM$9=1,AM86,0)</f>
        <v/>
      </c>
      <c r="AN87" s="122">
        <f>IF(AN$9=1,AN86,0)</f>
        <v/>
      </c>
      <c r="AO87" s="122">
        <f>IF(AO$9=1,AO86,0)</f>
        <v/>
      </c>
      <c r="AP87" s="122">
        <f>IF(AP$9=1,AP86,0)</f>
        <v/>
      </c>
      <c r="AQ87" s="120">
        <f>SUM(AG87:AP87)</f>
        <v/>
      </c>
    </row>
    <row r="88" hidden="1" outlineLevel="1" ht="6" customHeight="1" s="59" thickBot="1">
      <c r="C88" s="51" t="n"/>
      <c r="D88" s="95" t="n"/>
      <c r="E88" s="95" t="n"/>
      <c r="F88" s="95" t="n"/>
      <c r="G88" s="95" t="n"/>
      <c r="H88" s="95" t="n"/>
      <c r="I88" s="95" t="n"/>
      <c r="J88" s="95" t="n"/>
      <c r="K88" s="95" t="n"/>
      <c r="L88" s="95" t="n"/>
      <c r="M88" s="95" t="n"/>
      <c r="N88" s="95" t="n"/>
      <c r="O88" s="95" t="n"/>
      <c r="P88" s="95" t="n"/>
      <c r="Q88" s="95" t="n"/>
      <c r="R88" s="95" t="n"/>
      <c r="S88" s="95" t="n"/>
      <c r="U88" s="35" t="n"/>
      <c r="Y88" s="122" t="inlineStr">
        <is>
          <t>D</t>
        </is>
      </c>
      <c r="Z88" s="122" t="inlineStr">
        <is>
          <t>E</t>
        </is>
      </c>
      <c r="AA88" s="122" t="inlineStr">
        <is>
          <t>F</t>
        </is>
      </c>
      <c r="AB88" s="122" t="inlineStr">
        <is>
          <t>G</t>
        </is>
      </c>
      <c r="AC88" s="122" t="inlineStr">
        <is>
          <t>H</t>
        </is>
      </c>
      <c r="AD88" s="122" t="inlineStr">
        <is>
          <t>I</t>
        </is>
      </c>
      <c r="AE88" s="122" t="inlineStr">
        <is>
          <t>Total</t>
        </is>
      </c>
      <c r="AF88" s="122" t="n"/>
      <c r="AG88" s="122" t="inlineStr">
        <is>
          <t>Very or somewhat aligned</t>
        </is>
      </c>
      <c r="AH88" s="122" t="n"/>
      <c r="AI88" s="122" t="n"/>
      <c r="AJ88" s="122" t="n"/>
      <c r="AK88" s="122" t="n"/>
      <c r="AL88" s="122" t="n"/>
      <c r="AM88" s="122" t="n"/>
      <c r="AN88" s="122" t="n"/>
      <c r="AO88" s="122" t="n"/>
      <c r="AP88" s="122" t="n"/>
      <c r="AQ88" s="122" t="n"/>
    </row>
    <row r="89" hidden="1" outlineLevel="1" ht="24.9" customHeight="1" s="59" thickBot="1" thickTop="1">
      <c r="B89" s="189" t="n"/>
      <c r="C89" s="47" t="inlineStr">
        <is>
          <t>Alignment
(dropdown menu):</t>
        </is>
      </c>
      <c r="D89" s="24" t="n"/>
      <c r="E89" s="24" t="n"/>
      <c r="F89" s="24" t="n"/>
      <c r="G89" s="24" t="n"/>
      <c r="H89" s="24" t="n"/>
      <c r="I89" s="24" t="n"/>
      <c r="J89" s="24" t="n"/>
      <c r="K89" s="24" t="n"/>
      <c r="L89" s="24" t="n"/>
      <c r="M89" s="24" t="n"/>
      <c r="N89" s="24" t="n"/>
      <c r="O89" s="24" t="n"/>
      <c r="P89" s="24" t="n"/>
      <c r="Q89" s="24" t="n"/>
      <c r="R89" s="24" t="n"/>
      <c r="S89" s="25" t="n"/>
      <c r="U89" s="155">
        <f>IF(AE89=6,"Yes","No")</f>
        <v/>
      </c>
      <c r="V89" s="156">
        <f>CONCATENATE(AQ90,"/", AQ69)</f>
        <v/>
      </c>
      <c r="W89" s="156">
        <f>CONCATENATE(AQ89,"/", "10")</f>
        <v/>
      </c>
      <c r="Y89" s="122">
        <f>IF(OR(D89=Dropdowns!$B$1,D89=Dropdowns!$B$2),1,0)</f>
        <v/>
      </c>
      <c r="Z89" s="122">
        <f>IF(OR(E89=Dropdowns!$B$1,E89=Dropdowns!$B$2),1,0)</f>
        <v/>
      </c>
      <c r="AA89" s="122">
        <f>IF(OR(F89=Dropdowns!$B$1,F89=Dropdowns!$B$2),1,0)</f>
        <v/>
      </c>
      <c r="AB89" s="122">
        <f>IF(OR(G89=Dropdowns!$B$1,G89=Dropdowns!$B$2),1,0)</f>
        <v/>
      </c>
      <c r="AC89" s="122">
        <f>IF(OR(H89=Dropdowns!$B$1,H89=Dropdowns!$B$2),1,0)</f>
        <v/>
      </c>
      <c r="AD89" s="122">
        <f>IF(OR(I89=Dropdowns!$B$1,I89=Dropdowns!$B$2),1,0)</f>
        <v/>
      </c>
      <c r="AE89" s="122">
        <f>SUM(Y89:AD89)</f>
        <v/>
      </c>
      <c r="AF89" s="122" t="n"/>
      <c r="AG89" s="122">
        <f>IF(OR(J89=Dropdowns!$B$1,J89=Dropdowns!$B$2),1,0)</f>
        <v/>
      </c>
      <c r="AH89" s="122">
        <f>IF(OR(K89=Dropdowns!$B$1,K89=Dropdowns!$B$2),1,0)</f>
        <v/>
      </c>
      <c r="AI89" s="122">
        <f>IF(OR(L89=Dropdowns!$B$1,L89=Dropdowns!$B$2),1,0)</f>
        <v/>
      </c>
      <c r="AJ89" s="122">
        <f>IF(OR(M89=Dropdowns!$B$1,M89=Dropdowns!$B$2),1,0)</f>
        <v/>
      </c>
      <c r="AK89" s="122">
        <f>IF(OR(N89=Dropdowns!$B$1,N89=Dropdowns!$B$2),1,0)</f>
        <v/>
      </c>
      <c r="AL89" s="122">
        <f>IF(OR(O89=Dropdowns!$B$1,O89=Dropdowns!$B$2),1,0)</f>
        <v/>
      </c>
      <c r="AM89" s="122">
        <f>IF(OR(P89=Dropdowns!$B$1,P89=Dropdowns!$B$2),1,0)</f>
        <v/>
      </c>
      <c r="AN89" s="122">
        <f>IF(OR(Q89=Dropdowns!$B$1,Q89=Dropdowns!$B$2),1,0)</f>
        <v/>
      </c>
      <c r="AO89" s="122">
        <f>IF(OR(R89=Dropdowns!$B$1,R89=Dropdowns!$B$2),1,0)</f>
        <v/>
      </c>
      <c r="AP89" s="122">
        <f>IF(OR(S89=Dropdowns!$B$1,S89=Dropdowns!$B$2),1,0)</f>
        <v/>
      </c>
      <c r="AQ89" s="120">
        <f>SUM(AG89:AP89)</f>
        <v/>
      </c>
    </row>
    <row r="90" hidden="1" outlineLevel="1" ht="65.09999999999999" customHeight="1" s="59" thickBot="1" thickTop="1">
      <c r="B90" s="187" t="n"/>
      <c r="C90" s="48" t="inlineStr">
        <is>
          <t>Notes/comments on investor alignment:</t>
        </is>
      </c>
      <c r="D90" s="26" t="n"/>
      <c r="E90" s="26" t="n"/>
      <c r="F90" s="26" t="n"/>
      <c r="G90" s="26" t="n"/>
      <c r="H90" s="26" t="n"/>
      <c r="I90" s="26" t="n"/>
      <c r="J90" s="26" t="n"/>
      <c r="K90" s="26" t="n"/>
      <c r="L90" s="26" t="n"/>
      <c r="M90" s="26" t="n"/>
      <c r="N90" s="26" t="n"/>
      <c r="O90" s="26" t="n"/>
      <c r="P90" s="26" t="n"/>
      <c r="Q90" s="26" t="n"/>
      <c r="R90" s="26" t="n"/>
      <c r="S90" s="27" t="n"/>
      <c r="U90" s="188" t="n"/>
      <c r="V90" s="188" t="n"/>
      <c r="W90" s="188" t="n"/>
      <c r="Y90" s="122" t="n"/>
      <c r="Z90" s="122" t="n"/>
      <c r="AA90" s="122" t="n"/>
      <c r="AB90" s="122" t="n"/>
      <c r="AC90" s="122" t="n"/>
      <c r="AD90" s="122" t="n"/>
      <c r="AE90" s="122" t="n"/>
      <c r="AF90" s="122" t="n"/>
      <c r="AG90" s="122">
        <f>IF(AG$9=1,AG89,0)</f>
        <v/>
      </c>
      <c r="AH90" s="122">
        <f>IF(AH$9=1,AH89,0)</f>
        <v/>
      </c>
      <c r="AI90" s="122">
        <f>IF(AI$9=1,AI89,0)</f>
        <v/>
      </c>
      <c r="AJ90" s="122">
        <f>IF(AJ$9=1,AJ89,0)</f>
        <v/>
      </c>
      <c r="AK90" s="122">
        <f>IF(AK$9=1,AK89,0)</f>
        <v/>
      </c>
      <c r="AL90" s="122">
        <f>IF(AL$9=1,AL89,0)</f>
        <v/>
      </c>
      <c r="AM90" s="122">
        <f>IF(AM$9=1,AM89,0)</f>
        <v/>
      </c>
      <c r="AN90" s="122">
        <f>IF(AN$9=1,AN89,0)</f>
        <v/>
      </c>
      <c r="AO90" s="122">
        <f>IF(AO$9=1,AO89,0)</f>
        <v/>
      </c>
      <c r="AP90" s="122">
        <f>IF(AP$9=1,AP89,0)</f>
        <v/>
      </c>
      <c r="AQ90" s="120">
        <f>SUM(AG90:AP90)</f>
        <v/>
      </c>
    </row>
    <row r="91" hidden="1" outlineLevel="1" ht="6" customHeight="1" s="59" thickBot="1">
      <c r="C91" s="51" t="n"/>
      <c r="D91" s="95" t="n"/>
      <c r="E91" s="95" t="n"/>
      <c r="F91" s="95" t="n"/>
      <c r="G91" s="95" t="n"/>
      <c r="H91" s="95" t="n"/>
      <c r="I91" s="95" t="n"/>
      <c r="J91" s="95" t="n"/>
      <c r="K91" s="95" t="n"/>
      <c r="L91" s="95" t="n"/>
      <c r="M91" s="95" t="n"/>
      <c r="N91" s="95" t="n"/>
      <c r="O91" s="95" t="n"/>
      <c r="P91" s="95" t="n"/>
      <c r="Q91" s="95" t="n"/>
      <c r="R91" s="95" t="n"/>
      <c r="S91" s="95" t="n"/>
      <c r="U91" s="35" t="n"/>
      <c r="Y91" s="122" t="inlineStr">
        <is>
          <t>D</t>
        </is>
      </c>
      <c r="Z91" s="122" t="inlineStr">
        <is>
          <t>E</t>
        </is>
      </c>
      <c r="AA91" s="122" t="inlineStr">
        <is>
          <t>F</t>
        </is>
      </c>
      <c r="AB91" s="122" t="inlineStr">
        <is>
          <t>G</t>
        </is>
      </c>
      <c r="AC91" s="122" t="inlineStr">
        <is>
          <t>H</t>
        </is>
      </c>
      <c r="AD91" s="122" t="inlineStr">
        <is>
          <t>I</t>
        </is>
      </c>
      <c r="AE91" s="122" t="inlineStr">
        <is>
          <t>Total</t>
        </is>
      </c>
      <c r="AF91" s="122" t="n"/>
      <c r="AG91" s="122" t="inlineStr">
        <is>
          <t>Very or somewhat aligned</t>
        </is>
      </c>
      <c r="AH91" s="122" t="n"/>
      <c r="AI91" s="122" t="n"/>
      <c r="AJ91" s="122" t="n"/>
      <c r="AK91" s="122" t="n"/>
      <c r="AL91" s="122" t="n"/>
      <c r="AM91" s="122" t="n"/>
      <c r="AN91" s="122" t="n"/>
      <c r="AO91" s="122" t="n"/>
      <c r="AP91" s="122" t="n"/>
      <c r="AQ91" s="122" t="n"/>
    </row>
    <row r="92" hidden="1" outlineLevel="1" ht="24.9" customHeight="1" s="59" thickBot="1" thickTop="1">
      <c r="B92" s="189" t="n"/>
      <c r="C92" s="47" t="inlineStr">
        <is>
          <t>Alignment
(dropdown menu):</t>
        </is>
      </c>
      <c r="D92" s="24" t="n"/>
      <c r="E92" s="24" t="n"/>
      <c r="F92" s="24" t="n"/>
      <c r="G92" s="24" t="n"/>
      <c r="H92" s="24" t="n"/>
      <c r="I92" s="24" t="n"/>
      <c r="J92" s="24" t="n"/>
      <c r="K92" s="24" t="n"/>
      <c r="L92" s="24" t="n"/>
      <c r="M92" s="24" t="n"/>
      <c r="N92" s="24" t="n"/>
      <c r="O92" s="24" t="n"/>
      <c r="P92" s="24" t="n"/>
      <c r="Q92" s="24" t="n"/>
      <c r="R92" s="24" t="n"/>
      <c r="S92" s="25" t="n"/>
      <c r="U92" s="155">
        <f>IF(AE92=6,"Yes","No")</f>
        <v/>
      </c>
      <c r="V92" s="156">
        <f>CONCATENATE(AQ93,"/", AQ69)</f>
        <v/>
      </c>
      <c r="W92" s="156">
        <f>CONCATENATE(AQ92,"/", "10")</f>
        <v/>
      </c>
      <c r="Y92" s="122">
        <f>IF(OR(D92=Dropdowns!$B$1,D92=Dropdowns!$B$2),1,0)</f>
        <v/>
      </c>
      <c r="Z92" s="122">
        <f>IF(OR(E92=Dropdowns!$B$1,E92=Dropdowns!$B$2),1,0)</f>
        <v/>
      </c>
      <c r="AA92" s="122">
        <f>IF(OR(F92=Dropdowns!$B$1,F92=Dropdowns!$B$2),1,0)</f>
        <v/>
      </c>
      <c r="AB92" s="122">
        <f>IF(OR(G92=Dropdowns!$B$1,G92=Dropdowns!$B$2),1,0)</f>
        <v/>
      </c>
      <c r="AC92" s="122">
        <f>IF(OR(H92=Dropdowns!$B$1,H92=Dropdowns!$B$2),1,0)</f>
        <v/>
      </c>
      <c r="AD92" s="122">
        <f>IF(OR(I92=Dropdowns!$B$1,I92=Dropdowns!$B$2),1,0)</f>
        <v/>
      </c>
      <c r="AE92" s="122">
        <f>SUM(Y92:AD92)</f>
        <v/>
      </c>
      <c r="AF92" s="122" t="n"/>
      <c r="AG92" s="122">
        <f>IF(OR(J92=Dropdowns!$B$1,J92=Dropdowns!$B$2),1,0)</f>
        <v/>
      </c>
      <c r="AH92" s="122">
        <f>IF(OR(K92=Dropdowns!$B$1,K92=Dropdowns!$B$2),1,0)</f>
        <v/>
      </c>
      <c r="AI92" s="122">
        <f>IF(OR(L92=Dropdowns!$B$1,L92=Dropdowns!$B$2),1,0)</f>
        <v/>
      </c>
      <c r="AJ92" s="122">
        <f>IF(OR(M92=Dropdowns!$B$1,M92=Dropdowns!$B$2),1,0)</f>
        <v/>
      </c>
      <c r="AK92" s="122">
        <f>IF(OR(N92=Dropdowns!$B$1,N92=Dropdowns!$B$2),1,0)</f>
        <v/>
      </c>
      <c r="AL92" s="122">
        <f>IF(OR(O92=Dropdowns!$B$1,O92=Dropdowns!$B$2),1,0)</f>
        <v/>
      </c>
      <c r="AM92" s="122">
        <f>IF(OR(P92=Dropdowns!$B$1,P92=Dropdowns!$B$2),1,0)</f>
        <v/>
      </c>
      <c r="AN92" s="122">
        <f>IF(OR(Q92=Dropdowns!$B$1,Q92=Dropdowns!$B$2),1,0)</f>
        <v/>
      </c>
      <c r="AO92" s="122">
        <f>IF(OR(R92=Dropdowns!$B$1,R92=Dropdowns!$B$2),1,0)</f>
        <v/>
      </c>
      <c r="AP92" s="122">
        <f>IF(OR(S92=Dropdowns!$B$1,S92=Dropdowns!$B$2),1,0)</f>
        <v/>
      </c>
      <c r="AQ92" s="120">
        <f>SUM(AG92:AP92)</f>
        <v/>
      </c>
    </row>
    <row r="93" hidden="1" outlineLevel="1" ht="65.09999999999999" customHeight="1" s="59" thickBot="1" thickTop="1">
      <c r="B93" s="187" t="n"/>
      <c r="C93" s="48" t="inlineStr">
        <is>
          <t>Notes/comments on investor alignment:</t>
        </is>
      </c>
      <c r="D93" s="26" t="n"/>
      <c r="E93" s="26" t="n"/>
      <c r="F93" s="26" t="n"/>
      <c r="G93" s="26" t="n"/>
      <c r="H93" s="26" t="n"/>
      <c r="I93" s="26" t="n"/>
      <c r="J93" s="26" t="n"/>
      <c r="K93" s="26" t="n"/>
      <c r="L93" s="26" t="n"/>
      <c r="M93" s="26" t="n"/>
      <c r="N93" s="26" t="n"/>
      <c r="O93" s="26" t="n"/>
      <c r="P93" s="26" t="n"/>
      <c r="Q93" s="26" t="n"/>
      <c r="R93" s="26" t="n"/>
      <c r="S93" s="27" t="n"/>
      <c r="U93" s="188" t="n"/>
      <c r="V93" s="188" t="n"/>
      <c r="W93" s="188" t="n"/>
      <c r="Y93" s="122" t="n"/>
      <c r="Z93" s="122" t="n"/>
      <c r="AA93" s="122" t="n"/>
      <c r="AB93" s="122" t="n"/>
      <c r="AC93" s="122" t="n"/>
      <c r="AD93" s="122" t="n"/>
      <c r="AE93" s="122" t="n"/>
      <c r="AF93" s="122" t="n"/>
      <c r="AG93" s="122">
        <f>IF(AG$9=1,AG92,0)</f>
        <v/>
      </c>
      <c r="AH93" s="122">
        <f>IF(AH$9=1,AH92,0)</f>
        <v/>
      </c>
      <c r="AI93" s="122">
        <f>IF(AI$9=1,AI92,0)</f>
        <v/>
      </c>
      <c r="AJ93" s="122">
        <f>IF(AJ$9=1,AJ92,0)</f>
        <v/>
      </c>
      <c r="AK93" s="122">
        <f>IF(AK$9=1,AK92,0)</f>
        <v/>
      </c>
      <c r="AL93" s="122">
        <f>IF(AL$9=1,AL92,0)</f>
        <v/>
      </c>
      <c r="AM93" s="122">
        <f>IF(AM$9=1,AM92,0)</f>
        <v/>
      </c>
      <c r="AN93" s="122">
        <f>IF(AN$9=1,AN92,0)</f>
        <v/>
      </c>
      <c r="AO93" s="122">
        <f>IF(AO$9=1,AO92,0)</f>
        <v/>
      </c>
      <c r="AP93" s="122">
        <f>IF(AP$9=1,AP92,0)</f>
        <v/>
      </c>
      <c r="AQ93" s="120">
        <f>SUM(AG93:AP93)</f>
        <v/>
      </c>
    </row>
    <row r="94" hidden="1" outlineLevel="1" ht="6" customHeight="1" s="59" thickBot="1">
      <c r="C94" s="51" t="n"/>
      <c r="D94" s="95" t="n"/>
      <c r="E94" s="95" t="n"/>
      <c r="F94" s="95" t="n"/>
      <c r="G94" s="95" t="n"/>
      <c r="H94" s="95" t="n"/>
      <c r="I94" s="95" t="n"/>
      <c r="J94" s="95" t="n"/>
      <c r="K94" s="95" t="n"/>
      <c r="L94" s="95" t="n"/>
      <c r="M94" s="95" t="n"/>
      <c r="N94" s="95" t="n"/>
      <c r="O94" s="95" t="n"/>
      <c r="P94" s="95" t="n"/>
      <c r="Q94" s="95" t="n"/>
      <c r="R94" s="95" t="n"/>
      <c r="S94" s="95" t="n"/>
      <c r="U94" s="35" t="n"/>
      <c r="Y94" s="122" t="inlineStr">
        <is>
          <t>D</t>
        </is>
      </c>
      <c r="Z94" s="122" t="inlineStr">
        <is>
          <t>E</t>
        </is>
      </c>
      <c r="AA94" s="122" t="inlineStr">
        <is>
          <t>F</t>
        </is>
      </c>
      <c r="AB94" s="122" t="inlineStr">
        <is>
          <t>G</t>
        </is>
      </c>
      <c r="AC94" s="122" t="inlineStr">
        <is>
          <t>H</t>
        </is>
      </c>
      <c r="AD94" s="122" t="inlineStr">
        <is>
          <t>I</t>
        </is>
      </c>
      <c r="AE94" s="122" t="inlineStr">
        <is>
          <t>Total</t>
        </is>
      </c>
      <c r="AF94" s="122" t="n"/>
      <c r="AG94" s="122" t="inlineStr">
        <is>
          <t>Very or somewhat aligned</t>
        </is>
      </c>
      <c r="AH94" s="122" t="n"/>
      <c r="AI94" s="122" t="n"/>
      <c r="AJ94" s="122" t="n"/>
      <c r="AK94" s="122" t="n"/>
      <c r="AL94" s="122" t="n"/>
      <c r="AM94" s="122" t="n"/>
      <c r="AN94" s="122" t="n"/>
      <c r="AO94" s="122" t="n"/>
      <c r="AP94" s="122" t="n"/>
      <c r="AQ94" s="122" t="n"/>
    </row>
    <row r="95" hidden="1" outlineLevel="1" ht="24.9" customHeight="1" s="59" thickBot="1" thickTop="1">
      <c r="B95" s="189" t="n"/>
      <c r="C95" s="47" t="inlineStr">
        <is>
          <t>Alignment
(dropdown menu):</t>
        </is>
      </c>
      <c r="D95" s="24" t="n"/>
      <c r="E95" s="24" t="n"/>
      <c r="F95" s="24" t="n"/>
      <c r="G95" s="24" t="n"/>
      <c r="H95" s="24" t="n"/>
      <c r="I95" s="24" t="n"/>
      <c r="J95" s="24" t="n"/>
      <c r="K95" s="24" t="n"/>
      <c r="L95" s="24" t="n"/>
      <c r="M95" s="24" t="n"/>
      <c r="N95" s="24" t="n"/>
      <c r="O95" s="24" t="n"/>
      <c r="P95" s="24" t="n"/>
      <c r="Q95" s="24" t="n"/>
      <c r="R95" s="24" t="n"/>
      <c r="S95" s="25" t="n"/>
      <c r="U95" s="155">
        <f>IF(AE95=6,"Yes","No")</f>
        <v/>
      </c>
      <c r="V95" s="156">
        <f>CONCATENATE(AQ96,"/", AQ69)</f>
        <v/>
      </c>
      <c r="W95" s="156">
        <f>CONCATENATE(AQ95,"/", "10")</f>
        <v/>
      </c>
      <c r="Y95" s="122">
        <f>IF(OR(D95=Dropdowns!$B$1,D95=Dropdowns!$B$2),1,0)</f>
        <v/>
      </c>
      <c r="Z95" s="122">
        <f>IF(OR(E95=Dropdowns!$B$1,E95=Dropdowns!$B$2),1,0)</f>
        <v/>
      </c>
      <c r="AA95" s="122">
        <f>IF(OR(F95=Dropdowns!$B$1,F95=Dropdowns!$B$2),1,0)</f>
        <v/>
      </c>
      <c r="AB95" s="122">
        <f>IF(OR(G95=Dropdowns!$B$1,G95=Dropdowns!$B$2),1,0)</f>
        <v/>
      </c>
      <c r="AC95" s="122">
        <f>IF(OR(H95=Dropdowns!$B$1,H95=Dropdowns!$B$2),1,0)</f>
        <v/>
      </c>
      <c r="AD95" s="122">
        <f>IF(OR(I95=Dropdowns!$B$1,I95=Dropdowns!$B$2),1,0)</f>
        <v/>
      </c>
      <c r="AE95" s="122">
        <f>SUM(Y95:AD95)</f>
        <v/>
      </c>
      <c r="AF95" s="122" t="n"/>
      <c r="AG95" s="122">
        <f>IF(OR(J95=Dropdowns!$B$1,J95=Dropdowns!$B$2),1,0)</f>
        <v/>
      </c>
      <c r="AH95" s="122">
        <f>IF(OR(K95=Dropdowns!$B$1,K95=Dropdowns!$B$2),1,0)</f>
        <v/>
      </c>
      <c r="AI95" s="122">
        <f>IF(OR(L95=Dropdowns!$B$1,L95=Dropdowns!$B$2),1,0)</f>
        <v/>
      </c>
      <c r="AJ95" s="122">
        <f>IF(OR(M95=Dropdowns!$B$1,M95=Dropdowns!$B$2),1,0)</f>
        <v/>
      </c>
      <c r="AK95" s="122">
        <f>IF(OR(N95=Dropdowns!$B$1,N95=Dropdowns!$B$2),1,0)</f>
        <v/>
      </c>
      <c r="AL95" s="122">
        <f>IF(OR(O95=Dropdowns!$B$1,O95=Dropdowns!$B$2),1,0)</f>
        <v/>
      </c>
      <c r="AM95" s="122">
        <f>IF(OR(P95=Dropdowns!$B$1,P95=Dropdowns!$B$2),1,0)</f>
        <v/>
      </c>
      <c r="AN95" s="122">
        <f>IF(OR(Q95=Dropdowns!$B$1,Q95=Dropdowns!$B$2),1,0)</f>
        <v/>
      </c>
      <c r="AO95" s="122">
        <f>IF(OR(R95=Dropdowns!$B$1,R95=Dropdowns!$B$2),1,0)</f>
        <v/>
      </c>
      <c r="AP95" s="122">
        <f>IF(OR(S95=Dropdowns!$B$1,S95=Dropdowns!$B$2),1,0)</f>
        <v/>
      </c>
      <c r="AQ95" s="120">
        <f>SUM(AG95:AP95)</f>
        <v/>
      </c>
    </row>
    <row r="96" hidden="1" outlineLevel="1" ht="65.09999999999999" customHeight="1" s="59" thickBot="1" thickTop="1">
      <c r="B96" s="187" t="n"/>
      <c r="C96" s="48" t="inlineStr">
        <is>
          <t>Notes/comments on investor alignment:</t>
        </is>
      </c>
      <c r="D96" s="26" t="n"/>
      <c r="E96" s="26" t="n"/>
      <c r="F96" s="26" t="n"/>
      <c r="G96" s="26" t="n"/>
      <c r="H96" s="26" t="n"/>
      <c r="I96" s="26" t="n"/>
      <c r="J96" s="26" t="n"/>
      <c r="K96" s="26" t="n"/>
      <c r="L96" s="26" t="n"/>
      <c r="M96" s="26" t="n"/>
      <c r="N96" s="26" t="n"/>
      <c r="O96" s="26" t="n"/>
      <c r="P96" s="26" t="n"/>
      <c r="Q96" s="26" t="n"/>
      <c r="R96" s="26" t="n"/>
      <c r="S96" s="27" t="n"/>
      <c r="U96" s="188" t="n"/>
      <c r="V96" s="188" t="n"/>
      <c r="W96" s="188" t="n"/>
      <c r="Y96" s="122" t="n"/>
      <c r="Z96" s="122" t="n"/>
      <c r="AA96" s="122" t="n"/>
      <c r="AB96" s="122" t="n"/>
      <c r="AC96" s="122" t="n"/>
      <c r="AD96" s="122" t="n"/>
      <c r="AE96" s="122" t="n"/>
      <c r="AF96" s="122" t="n"/>
      <c r="AG96" s="122">
        <f>IF(AG$9=1,AG95,0)</f>
        <v/>
      </c>
      <c r="AH96" s="122">
        <f>IF(AH$9=1,AH95,0)</f>
        <v/>
      </c>
      <c r="AI96" s="122">
        <f>IF(AI$9=1,AI95,0)</f>
        <v/>
      </c>
      <c r="AJ96" s="122">
        <f>IF(AJ$9=1,AJ95,0)</f>
        <v/>
      </c>
      <c r="AK96" s="122">
        <f>IF(AK$9=1,AK95,0)</f>
        <v/>
      </c>
      <c r="AL96" s="122">
        <f>IF(AL$9=1,AL95,0)</f>
        <v/>
      </c>
      <c r="AM96" s="122">
        <f>IF(AM$9=1,AM95,0)</f>
        <v/>
      </c>
      <c r="AN96" s="122">
        <f>IF(AN$9=1,AN95,0)</f>
        <v/>
      </c>
      <c r="AO96" s="122">
        <f>IF(AO$9=1,AO95,0)</f>
        <v/>
      </c>
      <c r="AP96" s="122">
        <f>IF(AP$9=1,AP95,0)</f>
        <v/>
      </c>
      <c r="AQ96" s="120">
        <f>SUM(AG96:AP96)</f>
        <v/>
      </c>
    </row>
    <row r="97" hidden="1" outlineLevel="1" ht="6" customHeight="1" s="59" thickBot="1">
      <c r="C97" s="51" t="n"/>
      <c r="D97" s="95" t="n"/>
      <c r="E97" s="95" t="n"/>
      <c r="F97" s="95" t="n"/>
      <c r="G97" s="95" t="n"/>
      <c r="H97" s="95" t="n"/>
      <c r="I97" s="95" t="n"/>
      <c r="J97" s="95" t="n"/>
      <c r="K97" s="95" t="n"/>
      <c r="L97" s="95" t="n"/>
      <c r="M97" s="95" t="n"/>
      <c r="N97" s="95" t="n"/>
      <c r="O97" s="95" t="n"/>
      <c r="P97" s="95" t="n"/>
      <c r="Q97" s="95" t="n"/>
      <c r="R97" s="95" t="n"/>
      <c r="S97" s="95" t="n"/>
      <c r="U97" s="35" t="n"/>
      <c r="Y97" s="122" t="inlineStr">
        <is>
          <t>D</t>
        </is>
      </c>
      <c r="Z97" s="122" t="inlineStr">
        <is>
          <t>E</t>
        </is>
      </c>
      <c r="AA97" s="122" t="inlineStr">
        <is>
          <t>F</t>
        </is>
      </c>
      <c r="AB97" s="122" t="inlineStr">
        <is>
          <t>G</t>
        </is>
      </c>
      <c r="AC97" s="122" t="inlineStr">
        <is>
          <t>H</t>
        </is>
      </c>
      <c r="AD97" s="122" t="inlineStr">
        <is>
          <t>I</t>
        </is>
      </c>
      <c r="AE97" s="122" t="inlineStr">
        <is>
          <t>Total</t>
        </is>
      </c>
      <c r="AF97" s="122" t="n"/>
      <c r="AG97" s="122" t="inlineStr">
        <is>
          <t>Very or somewhat aligned</t>
        </is>
      </c>
      <c r="AH97" s="122" t="n"/>
      <c r="AI97" s="122" t="n"/>
      <c r="AJ97" s="122" t="n"/>
      <c r="AK97" s="122" t="n"/>
      <c r="AL97" s="122" t="n"/>
      <c r="AM97" s="122" t="n"/>
      <c r="AN97" s="122" t="n"/>
      <c r="AO97" s="122" t="n"/>
      <c r="AP97" s="122" t="n"/>
      <c r="AQ97" s="122" t="n"/>
    </row>
    <row r="98" hidden="1" outlineLevel="1" ht="24.9" customHeight="1" s="59" thickBot="1" thickTop="1">
      <c r="B98" s="189" t="n"/>
      <c r="C98" s="47" t="inlineStr">
        <is>
          <t>Alignment
(dropdown menu):</t>
        </is>
      </c>
      <c r="D98" s="24" t="n"/>
      <c r="E98" s="24" t="n"/>
      <c r="F98" s="24" t="n"/>
      <c r="G98" s="24" t="n"/>
      <c r="H98" s="24" t="n"/>
      <c r="I98" s="24" t="n"/>
      <c r="J98" s="24" t="n"/>
      <c r="K98" s="24" t="n"/>
      <c r="L98" s="24" t="n"/>
      <c r="M98" s="24" t="n"/>
      <c r="N98" s="24" t="n"/>
      <c r="O98" s="24" t="n"/>
      <c r="P98" s="24" t="n"/>
      <c r="Q98" s="24" t="n"/>
      <c r="R98" s="24" t="n"/>
      <c r="S98" s="25" t="n"/>
      <c r="U98" s="155">
        <f>IF(AE98=6,"Yes","No")</f>
        <v/>
      </c>
      <c r="V98" s="156">
        <f>CONCATENATE(AQ99,"/", AQ72)</f>
        <v/>
      </c>
      <c r="W98" s="156">
        <f>CONCATENATE(AQ98,"/", "10")</f>
        <v/>
      </c>
      <c r="Y98" s="122">
        <f>IF(OR(D98=Dropdowns!$B$1,D98=Dropdowns!$B$2),1,0)</f>
        <v/>
      </c>
      <c r="Z98" s="122">
        <f>IF(OR(E98=Dropdowns!$B$1,E98=Dropdowns!$B$2),1,0)</f>
        <v/>
      </c>
      <c r="AA98" s="122">
        <f>IF(OR(F98=Dropdowns!$B$1,F98=Dropdowns!$B$2),1,0)</f>
        <v/>
      </c>
      <c r="AB98" s="122">
        <f>IF(OR(G98=Dropdowns!$B$1,G98=Dropdowns!$B$2),1,0)</f>
        <v/>
      </c>
      <c r="AC98" s="122">
        <f>IF(OR(H98=Dropdowns!$B$1,H98=Dropdowns!$B$2),1,0)</f>
        <v/>
      </c>
      <c r="AD98" s="122">
        <f>IF(OR(I98=Dropdowns!$B$1,I98=Dropdowns!$B$2),1,0)</f>
        <v/>
      </c>
      <c r="AE98" s="122">
        <f>SUM(Y98:AD98)</f>
        <v/>
      </c>
      <c r="AF98" s="122" t="n"/>
      <c r="AG98" s="122">
        <f>IF(OR(J98=Dropdowns!$B$1,J98=Dropdowns!$B$2),1,0)</f>
        <v/>
      </c>
      <c r="AH98" s="122">
        <f>IF(OR(K98=Dropdowns!$B$1,K98=Dropdowns!$B$2),1,0)</f>
        <v/>
      </c>
      <c r="AI98" s="122">
        <f>IF(OR(L98=Dropdowns!$B$1,L98=Dropdowns!$B$2),1,0)</f>
        <v/>
      </c>
      <c r="AJ98" s="122">
        <f>IF(OR(M98=Dropdowns!$B$1,M98=Dropdowns!$B$2),1,0)</f>
        <v/>
      </c>
      <c r="AK98" s="122">
        <f>IF(OR(N98=Dropdowns!$B$1,N98=Dropdowns!$B$2),1,0)</f>
        <v/>
      </c>
      <c r="AL98" s="122">
        <f>IF(OR(O98=Dropdowns!$B$1,O98=Dropdowns!$B$2),1,0)</f>
        <v/>
      </c>
      <c r="AM98" s="122">
        <f>IF(OR(P98=Dropdowns!$B$1,P98=Dropdowns!$B$2),1,0)</f>
        <v/>
      </c>
      <c r="AN98" s="122">
        <f>IF(OR(Q98=Dropdowns!$B$1,Q98=Dropdowns!$B$2),1,0)</f>
        <v/>
      </c>
      <c r="AO98" s="122">
        <f>IF(OR(R98=Dropdowns!$B$1,R98=Dropdowns!$B$2),1,0)</f>
        <v/>
      </c>
      <c r="AP98" s="122">
        <f>IF(OR(S98=Dropdowns!$B$1,S98=Dropdowns!$B$2),1,0)</f>
        <v/>
      </c>
      <c r="AQ98" s="120">
        <f>SUM(AG98:AP98)</f>
        <v/>
      </c>
    </row>
    <row r="99" hidden="1" outlineLevel="1" ht="65.09999999999999" customHeight="1" s="59" thickBot="1" thickTop="1">
      <c r="B99" s="187" t="n"/>
      <c r="C99" s="48" t="inlineStr">
        <is>
          <t>Notes/comments on investor alignment:</t>
        </is>
      </c>
      <c r="D99" s="26" t="n"/>
      <c r="E99" s="26" t="n"/>
      <c r="F99" s="26" t="n"/>
      <c r="G99" s="26" t="n"/>
      <c r="H99" s="26" t="n"/>
      <c r="I99" s="26" t="n"/>
      <c r="J99" s="26" t="n"/>
      <c r="K99" s="26" t="n"/>
      <c r="L99" s="26" t="n"/>
      <c r="M99" s="26" t="n"/>
      <c r="N99" s="26" t="n"/>
      <c r="O99" s="26" t="n"/>
      <c r="P99" s="26" t="n"/>
      <c r="Q99" s="26" t="n"/>
      <c r="R99" s="26" t="n"/>
      <c r="S99" s="27" t="n"/>
      <c r="U99" s="188" t="n"/>
      <c r="V99" s="188" t="n"/>
      <c r="W99" s="188" t="n"/>
      <c r="Y99" s="122" t="n"/>
      <c r="Z99" s="122" t="n"/>
      <c r="AA99" s="122" t="n"/>
      <c r="AB99" s="122" t="n"/>
      <c r="AC99" s="122" t="n"/>
      <c r="AD99" s="122" t="n"/>
      <c r="AE99" s="122" t="n"/>
      <c r="AF99" s="122" t="n"/>
      <c r="AG99" s="122">
        <f>IF(AG$9=1,AG98,0)</f>
        <v/>
      </c>
      <c r="AH99" s="122">
        <f>IF(AH$9=1,AH98,0)</f>
        <v/>
      </c>
      <c r="AI99" s="122">
        <f>IF(AI$9=1,AI98,0)</f>
        <v/>
      </c>
      <c r="AJ99" s="122">
        <f>IF(AJ$9=1,AJ98,0)</f>
        <v/>
      </c>
      <c r="AK99" s="122">
        <f>IF(AK$9=1,AK98,0)</f>
        <v/>
      </c>
      <c r="AL99" s="122">
        <f>IF(AL$9=1,AL98,0)</f>
        <v/>
      </c>
      <c r="AM99" s="122">
        <f>IF(AM$9=1,AM98,0)</f>
        <v/>
      </c>
      <c r="AN99" s="122">
        <f>IF(AN$9=1,AN98,0)</f>
        <v/>
      </c>
      <c r="AO99" s="122">
        <f>IF(AO$9=1,AO98,0)</f>
        <v/>
      </c>
      <c r="AP99" s="122">
        <f>IF(AP$9=1,AP98,0)</f>
        <v/>
      </c>
      <c r="AQ99" s="120">
        <f>SUM(AG99:AP99)</f>
        <v/>
      </c>
    </row>
    <row r="100" collapsed="1" ht="16.5" customHeight="1" s="59">
      <c r="C100" s="51" t="n"/>
      <c r="D100" s="95" t="n"/>
      <c r="E100" s="95" t="n"/>
      <c r="F100" s="95" t="n"/>
      <c r="G100" s="95" t="n"/>
      <c r="H100" s="95" t="n"/>
      <c r="I100" s="95" t="n"/>
      <c r="J100" s="95" t="n"/>
      <c r="K100" s="95" t="n"/>
      <c r="L100" s="95" t="n"/>
      <c r="M100" s="95" t="n"/>
      <c r="N100" s="95" t="n"/>
      <c r="O100" s="95" t="n"/>
      <c r="P100" s="95" t="n"/>
      <c r="Q100" s="95" t="n"/>
      <c r="R100" s="95" t="n"/>
      <c r="S100" s="95" t="n"/>
      <c r="U100" s="35" t="n"/>
      <c r="Y100" s="122" t="inlineStr">
        <is>
          <t>D</t>
        </is>
      </c>
      <c r="Z100" s="122" t="inlineStr">
        <is>
          <t>E</t>
        </is>
      </c>
      <c r="AA100" s="122" t="inlineStr">
        <is>
          <t>F</t>
        </is>
      </c>
      <c r="AB100" s="122" t="inlineStr">
        <is>
          <t>G</t>
        </is>
      </c>
      <c r="AC100" s="122" t="inlineStr">
        <is>
          <t>H</t>
        </is>
      </c>
      <c r="AD100" s="122" t="inlineStr">
        <is>
          <t>I</t>
        </is>
      </c>
      <c r="AE100" s="122" t="inlineStr">
        <is>
          <t>Total</t>
        </is>
      </c>
      <c r="AF100" s="122" t="n"/>
      <c r="AG100" s="122" t="inlineStr">
        <is>
          <t>Very or somewhat aligned</t>
        </is>
      </c>
      <c r="AH100" s="122" t="n"/>
      <c r="AI100" s="122" t="n"/>
      <c r="AJ100" s="122" t="n"/>
      <c r="AK100" s="122" t="n"/>
      <c r="AL100" s="122" t="n"/>
      <c r="AM100" s="122" t="n"/>
      <c r="AN100" s="122" t="n"/>
      <c r="AO100" s="122" t="n"/>
      <c r="AP100" s="122" t="n"/>
      <c r="AQ100" s="122" t="n"/>
    </row>
    <row r="101" hidden="1" outlineLevel="1" ht="24.9" customHeight="1" s="59" thickBot="1" thickTop="1">
      <c r="B101" s="189" t="n"/>
      <c r="C101" s="47" t="inlineStr">
        <is>
          <t>Alignment
(dropdown menu):</t>
        </is>
      </c>
      <c r="D101" s="24" t="n"/>
      <c r="E101" s="24" t="n"/>
      <c r="F101" s="24" t="n"/>
      <c r="G101" s="24" t="n"/>
      <c r="H101" s="24" t="n"/>
      <c r="I101" s="24" t="n"/>
      <c r="J101" s="24" t="n"/>
      <c r="K101" s="24" t="n"/>
      <c r="L101" s="24" t="n"/>
      <c r="M101" s="24" t="n"/>
      <c r="N101" s="24" t="n"/>
      <c r="O101" s="24" t="n"/>
      <c r="P101" s="24" t="n"/>
      <c r="Q101" s="24" t="n"/>
      <c r="R101" s="24" t="n"/>
      <c r="S101" s="25" t="n"/>
      <c r="U101" s="155">
        <f>IF(AE101=6,"Yes","No")</f>
        <v/>
      </c>
      <c r="V101" s="156">
        <f>CONCATENATE(AQ102,"/", AQ75)</f>
        <v/>
      </c>
      <c r="W101" s="156">
        <f>CONCATENATE(AQ101,"/", "10")</f>
        <v/>
      </c>
      <c r="Y101" s="122">
        <f>IF(OR(D101=Dropdowns!$B$1,D101=Dropdowns!$B$2),1,0)</f>
        <v/>
      </c>
      <c r="Z101" s="122">
        <f>IF(OR(E101=Dropdowns!$B$1,E101=Dropdowns!$B$2),1,0)</f>
        <v/>
      </c>
      <c r="AA101" s="122">
        <f>IF(OR(F101=Dropdowns!$B$1,F101=Dropdowns!$B$2),1,0)</f>
        <v/>
      </c>
      <c r="AB101" s="122">
        <f>IF(OR(G101=Dropdowns!$B$1,G101=Dropdowns!$B$2),1,0)</f>
        <v/>
      </c>
      <c r="AC101" s="122">
        <f>IF(OR(H101=Dropdowns!$B$1,H101=Dropdowns!$B$2),1,0)</f>
        <v/>
      </c>
      <c r="AD101" s="122">
        <f>IF(OR(I101=Dropdowns!$B$1,I101=Dropdowns!$B$2),1,0)</f>
        <v/>
      </c>
      <c r="AE101" s="122">
        <f>SUM(Y101:AD101)</f>
        <v/>
      </c>
      <c r="AF101" s="122" t="n"/>
      <c r="AG101" s="122">
        <f>IF(OR(J101=Dropdowns!$B$1,J101=Dropdowns!$B$2),1,0)</f>
        <v/>
      </c>
      <c r="AH101" s="122">
        <f>IF(OR(K101=Dropdowns!$B$1,K101=Dropdowns!$B$2),1,0)</f>
        <v/>
      </c>
      <c r="AI101" s="122">
        <f>IF(OR(L101=Dropdowns!$B$1,L101=Dropdowns!$B$2),1,0)</f>
        <v/>
      </c>
      <c r="AJ101" s="122">
        <f>IF(OR(M101=Dropdowns!$B$1,M101=Dropdowns!$B$2),1,0)</f>
        <v/>
      </c>
      <c r="AK101" s="122">
        <f>IF(OR(N101=Dropdowns!$B$1,N101=Dropdowns!$B$2),1,0)</f>
        <v/>
      </c>
      <c r="AL101" s="122">
        <f>IF(OR(O101=Dropdowns!$B$1,O101=Dropdowns!$B$2),1,0)</f>
        <v/>
      </c>
      <c r="AM101" s="122">
        <f>IF(OR(P101=Dropdowns!$B$1,P101=Dropdowns!$B$2),1,0)</f>
        <v/>
      </c>
      <c r="AN101" s="122">
        <f>IF(OR(Q101=Dropdowns!$B$1,Q101=Dropdowns!$B$2),1,0)</f>
        <v/>
      </c>
      <c r="AO101" s="122">
        <f>IF(OR(R101=Dropdowns!$B$1,R101=Dropdowns!$B$2),1,0)</f>
        <v/>
      </c>
      <c r="AP101" s="122">
        <f>IF(OR(S101=Dropdowns!$B$1,S101=Dropdowns!$B$2),1,0)</f>
        <v/>
      </c>
      <c r="AQ101" s="120">
        <f>SUM(AG101:AP101)</f>
        <v/>
      </c>
    </row>
    <row r="102" hidden="1" outlineLevel="1" ht="65.09999999999999" customHeight="1" s="59" thickBot="1" thickTop="1">
      <c r="B102" s="187" t="n"/>
      <c r="C102" s="48" t="inlineStr">
        <is>
          <t>Notes/comments on investor alignment:</t>
        </is>
      </c>
      <c r="D102" s="26" t="n"/>
      <c r="E102" s="26" t="n"/>
      <c r="F102" s="26" t="n"/>
      <c r="G102" s="26" t="n"/>
      <c r="H102" s="26" t="n"/>
      <c r="I102" s="26" t="n"/>
      <c r="J102" s="26" t="n"/>
      <c r="K102" s="26" t="n"/>
      <c r="L102" s="26" t="n"/>
      <c r="M102" s="26" t="n"/>
      <c r="N102" s="26" t="n"/>
      <c r="O102" s="26" t="n"/>
      <c r="P102" s="26" t="n"/>
      <c r="Q102" s="26" t="n"/>
      <c r="R102" s="26" t="n"/>
      <c r="S102" s="27" t="n"/>
      <c r="U102" s="188" t="n"/>
      <c r="V102" s="188" t="n"/>
      <c r="W102" s="188" t="n"/>
      <c r="Y102" s="122" t="n"/>
      <c r="Z102" s="122" t="n"/>
      <c r="AA102" s="122" t="n"/>
      <c r="AB102" s="122" t="n"/>
      <c r="AC102" s="122" t="n"/>
      <c r="AD102" s="122" t="n"/>
      <c r="AE102" s="122" t="n"/>
      <c r="AF102" s="122" t="n"/>
      <c r="AG102" s="122">
        <f>IF(AG$9=1,AG101,0)</f>
        <v/>
      </c>
      <c r="AH102" s="122">
        <f>IF(AH$9=1,AH101,0)</f>
        <v/>
      </c>
      <c r="AI102" s="122">
        <f>IF(AI$9=1,AI101,0)</f>
        <v/>
      </c>
      <c r="AJ102" s="122">
        <f>IF(AJ$9=1,AJ101,0)</f>
        <v/>
      </c>
      <c r="AK102" s="122">
        <f>IF(AK$9=1,AK101,0)</f>
        <v/>
      </c>
      <c r="AL102" s="122">
        <f>IF(AL$9=1,AL101,0)</f>
        <v/>
      </c>
      <c r="AM102" s="122">
        <f>IF(AM$9=1,AM101,0)</f>
        <v/>
      </c>
      <c r="AN102" s="122">
        <f>IF(AN$9=1,AN101,0)</f>
        <v/>
      </c>
      <c r="AO102" s="122">
        <f>IF(AO$9=1,AO101,0)</f>
        <v/>
      </c>
      <c r="AP102" s="122">
        <f>IF(AP$9=1,AP101,0)</f>
        <v/>
      </c>
      <c r="AQ102" s="120">
        <f>SUM(AG102:AP102)</f>
        <v/>
      </c>
    </row>
    <row r="103" hidden="1" outlineLevel="1" ht="6" customHeight="1" s="59" thickBot="1">
      <c r="C103" s="51" t="n"/>
      <c r="D103" s="95" t="n"/>
      <c r="E103" s="95" t="n"/>
      <c r="F103" s="95" t="n"/>
      <c r="G103" s="95" t="n"/>
      <c r="H103" s="95" t="n"/>
      <c r="I103" s="95" t="n"/>
      <c r="J103" s="95" t="n"/>
      <c r="K103" s="95" t="n"/>
      <c r="L103" s="95" t="n"/>
      <c r="M103" s="95" t="n"/>
      <c r="N103" s="95" t="n"/>
      <c r="O103" s="95" t="n"/>
      <c r="P103" s="95" t="n"/>
      <c r="Q103" s="95" t="n"/>
      <c r="R103" s="95" t="n"/>
      <c r="S103" s="95" t="n"/>
      <c r="U103" s="35" t="n"/>
      <c r="Y103" s="122" t="inlineStr">
        <is>
          <t>D</t>
        </is>
      </c>
      <c r="Z103" s="122" t="inlineStr">
        <is>
          <t>E</t>
        </is>
      </c>
      <c r="AA103" s="122" t="inlineStr">
        <is>
          <t>F</t>
        </is>
      </c>
      <c r="AB103" s="122" t="inlineStr">
        <is>
          <t>G</t>
        </is>
      </c>
      <c r="AC103" s="122" t="inlineStr">
        <is>
          <t>H</t>
        </is>
      </c>
      <c r="AD103" s="122" t="inlineStr">
        <is>
          <t>I</t>
        </is>
      </c>
      <c r="AE103" s="122" t="inlineStr">
        <is>
          <t>Total</t>
        </is>
      </c>
      <c r="AF103" s="122" t="n"/>
      <c r="AG103" s="122" t="inlineStr">
        <is>
          <t>Very or somewhat aligned</t>
        </is>
      </c>
      <c r="AH103" s="122" t="n"/>
      <c r="AI103" s="122" t="n"/>
      <c r="AJ103" s="122" t="n"/>
      <c r="AK103" s="122" t="n"/>
      <c r="AL103" s="122" t="n"/>
      <c r="AM103" s="122" t="n"/>
      <c r="AN103" s="122" t="n"/>
      <c r="AO103" s="122" t="n"/>
      <c r="AP103" s="122" t="n"/>
      <c r="AQ103" s="122" t="n"/>
    </row>
    <row r="104" hidden="1" outlineLevel="1" ht="24.9" customHeight="1" s="59" thickBot="1" thickTop="1">
      <c r="B104" s="189" t="n"/>
      <c r="C104" s="47" t="inlineStr">
        <is>
          <t>Alignment
(dropdown menu):</t>
        </is>
      </c>
      <c r="D104" s="24" t="n"/>
      <c r="E104" s="24" t="n"/>
      <c r="F104" s="24" t="n"/>
      <c r="G104" s="24" t="n"/>
      <c r="H104" s="24" t="n"/>
      <c r="I104" s="24" t="n"/>
      <c r="J104" s="24" t="n"/>
      <c r="K104" s="24" t="n"/>
      <c r="L104" s="24" t="n"/>
      <c r="M104" s="24" t="n"/>
      <c r="N104" s="24" t="n"/>
      <c r="O104" s="24" t="n"/>
      <c r="P104" s="24" t="n"/>
      <c r="Q104" s="24" t="n"/>
      <c r="R104" s="24" t="n"/>
      <c r="S104" s="25" t="n"/>
      <c r="U104" s="155">
        <f>IF(AE104=6,"Yes","No")</f>
        <v/>
      </c>
      <c r="V104" s="156">
        <f>CONCATENATE(AQ105,"/", AQ78)</f>
        <v/>
      </c>
      <c r="W104" s="156">
        <f>CONCATENATE(AQ104,"/", "10")</f>
        <v/>
      </c>
      <c r="Y104" s="122">
        <f>IF(OR(D104=Dropdowns!$B$1,D104=Dropdowns!$B$2),1,0)</f>
        <v/>
      </c>
      <c r="Z104" s="122">
        <f>IF(OR(E104=Dropdowns!$B$1,E104=Dropdowns!$B$2),1,0)</f>
        <v/>
      </c>
      <c r="AA104" s="122">
        <f>IF(OR(F104=Dropdowns!$B$1,F104=Dropdowns!$B$2),1,0)</f>
        <v/>
      </c>
      <c r="AB104" s="122">
        <f>IF(OR(G104=Dropdowns!$B$1,G104=Dropdowns!$B$2),1,0)</f>
        <v/>
      </c>
      <c r="AC104" s="122">
        <f>IF(OR(H104=Dropdowns!$B$1,H104=Dropdowns!$B$2),1,0)</f>
        <v/>
      </c>
      <c r="AD104" s="122">
        <f>IF(OR(I104=Dropdowns!$B$1,I104=Dropdowns!$B$2),1,0)</f>
        <v/>
      </c>
      <c r="AE104" s="122">
        <f>SUM(Y104:AD104)</f>
        <v/>
      </c>
      <c r="AF104" s="122" t="n"/>
      <c r="AG104" s="122">
        <f>IF(OR(J104=Dropdowns!$B$1,J104=Dropdowns!$B$2),1,0)</f>
        <v/>
      </c>
      <c r="AH104" s="122">
        <f>IF(OR(K104=Dropdowns!$B$1,K104=Dropdowns!$B$2),1,0)</f>
        <v/>
      </c>
      <c r="AI104" s="122">
        <f>IF(OR(L104=Dropdowns!$B$1,L104=Dropdowns!$B$2),1,0)</f>
        <v/>
      </c>
      <c r="AJ104" s="122">
        <f>IF(OR(M104=Dropdowns!$B$1,M104=Dropdowns!$B$2),1,0)</f>
        <v/>
      </c>
      <c r="AK104" s="122">
        <f>IF(OR(N104=Dropdowns!$B$1,N104=Dropdowns!$B$2),1,0)</f>
        <v/>
      </c>
      <c r="AL104" s="122">
        <f>IF(OR(O104=Dropdowns!$B$1,O104=Dropdowns!$B$2),1,0)</f>
        <v/>
      </c>
      <c r="AM104" s="122">
        <f>IF(OR(P104=Dropdowns!$B$1,P104=Dropdowns!$B$2),1,0)</f>
        <v/>
      </c>
      <c r="AN104" s="122">
        <f>IF(OR(Q104=Dropdowns!$B$1,Q104=Dropdowns!$B$2),1,0)</f>
        <v/>
      </c>
      <c r="AO104" s="122">
        <f>IF(OR(R104=Dropdowns!$B$1,R104=Dropdowns!$B$2),1,0)</f>
        <v/>
      </c>
      <c r="AP104" s="122">
        <f>IF(OR(S104=Dropdowns!$B$1,S104=Dropdowns!$B$2),1,0)</f>
        <v/>
      </c>
      <c r="AQ104" s="120">
        <f>SUM(AG104:AP104)</f>
        <v/>
      </c>
    </row>
    <row r="105" hidden="1" outlineLevel="1" ht="65.09999999999999" customHeight="1" s="59" thickBot="1" thickTop="1">
      <c r="B105" s="187" t="n"/>
      <c r="C105" s="48" t="inlineStr">
        <is>
          <t>Notes/comments on investor alignment:</t>
        </is>
      </c>
      <c r="D105" s="26" t="n"/>
      <c r="E105" s="26" t="n"/>
      <c r="F105" s="26" t="n"/>
      <c r="G105" s="26" t="n"/>
      <c r="H105" s="26" t="n"/>
      <c r="I105" s="26" t="n"/>
      <c r="J105" s="26" t="n"/>
      <c r="K105" s="26" t="n"/>
      <c r="L105" s="26" t="n"/>
      <c r="M105" s="26" t="n"/>
      <c r="N105" s="26" t="n"/>
      <c r="O105" s="26" t="n"/>
      <c r="P105" s="26" t="n"/>
      <c r="Q105" s="26" t="n"/>
      <c r="R105" s="26" t="n"/>
      <c r="S105" s="27" t="n"/>
      <c r="U105" s="188" t="n"/>
      <c r="V105" s="188" t="n"/>
      <c r="W105" s="188" t="n"/>
      <c r="Y105" s="122" t="n"/>
      <c r="Z105" s="122" t="n"/>
      <c r="AA105" s="122" t="n"/>
      <c r="AB105" s="122" t="n"/>
      <c r="AC105" s="122" t="n"/>
      <c r="AD105" s="122" t="n"/>
      <c r="AE105" s="122" t="n"/>
      <c r="AF105" s="122" t="n"/>
      <c r="AG105" s="122">
        <f>IF(AG$9=1,AG104,0)</f>
        <v/>
      </c>
      <c r="AH105" s="122">
        <f>IF(AH$9=1,AH104,0)</f>
        <v/>
      </c>
      <c r="AI105" s="122">
        <f>IF(AI$9=1,AI104,0)</f>
        <v/>
      </c>
      <c r="AJ105" s="122">
        <f>IF(AJ$9=1,AJ104,0)</f>
        <v/>
      </c>
      <c r="AK105" s="122">
        <f>IF(AK$9=1,AK104,0)</f>
        <v/>
      </c>
      <c r="AL105" s="122">
        <f>IF(AL$9=1,AL104,0)</f>
        <v/>
      </c>
      <c r="AM105" s="122">
        <f>IF(AM$9=1,AM104,0)</f>
        <v/>
      </c>
      <c r="AN105" s="122">
        <f>IF(AN$9=1,AN104,0)</f>
        <v/>
      </c>
      <c r="AO105" s="122">
        <f>IF(AO$9=1,AO104,0)</f>
        <v/>
      </c>
      <c r="AP105" s="122">
        <f>IF(AP$9=1,AP104,0)</f>
        <v/>
      </c>
      <c r="AQ105" s="120">
        <f>SUM(AG105:AP105)</f>
        <v/>
      </c>
    </row>
    <row r="106" hidden="1" outlineLevel="1" ht="6" customHeight="1" s="59" thickBot="1">
      <c r="C106" s="51" t="n"/>
      <c r="D106" s="95" t="n"/>
      <c r="E106" s="95" t="n"/>
      <c r="F106" s="95" t="n"/>
      <c r="G106" s="95" t="n"/>
      <c r="H106" s="95" t="n"/>
      <c r="I106" s="95" t="n"/>
      <c r="J106" s="95" t="n"/>
      <c r="K106" s="95" t="n"/>
      <c r="L106" s="95" t="n"/>
      <c r="M106" s="95" t="n"/>
      <c r="N106" s="95" t="n"/>
      <c r="O106" s="95" t="n"/>
      <c r="P106" s="95" t="n"/>
      <c r="Q106" s="95" t="n"/>
      <c r="R106" s="95" t="n"/>
      <c r="S106" s="95" t="n"/>
      <c r="U106" s="35" t="n"/>
      <c r="Y106" s="122" t="inlineStr">
        <is>
          <t>D</t>
        </is>
      </c>
      <c r="Z106" s="122" t="inlineStr">
        <is>
          <t>E</t>
        </is>
      </c>
      <c r="AA106" s="122" t="inlineStr">
        <is>
          <t>F</t>
        </is>
      </c>
      <c r="AB106" s="122" t="inlineStr">
        <is>
          <t>G</t>
        </is>
      </c>
      <c r="AC106" s="122" t="inlineStr">
        <is>
          <t>H</t>
        </is>
      </c>
      <c r="AD106" s="122" t="inlineStr">
        <is>
          <t>I</t>
        </is>
      </c>
      <c r="AE106" s="122" t="inlineStr">
        <is>
          <t>Total</t>
        </is>
      </c>
      <c r="AF106" s="122" t="n"/>
      <c r="AG106" s="122" t="inlineStr">
        <is>
          <t>Very or somewhat aligned</t>
        </is>
      </c>
      <c r="AH106" s="122" t="n"/>
      <c r="AI106" s="122" t="n"/>
      <c r="AJ106" s="122" t="n"/>
      <c r="AK106" s="122" t="n"/>
      <c r="AL106" s="122" t="n"/>
      <c r="AM106" s="122" t="n"/>
      <c r="AN106" s="122" t="n"/>
      <c r="AO106" s="122" t="n"/>
      <c r="AP106" s="122" t="n"/>
      <c r="AQ106" s="122" t="n"/>
    </row>
    <row r="107" hidden="1" outlineLevel="1" ht="24.9" customHeight="1" s="59" thickBot="1" thickTop="1">
      <c r="B107" s="189" t="n"/>
      <c r="C107" s="47" t="inlineStr">
        <is>
          <t>Alignment
(dropdown menu):</t>
        </is>
      </c>
      <c r="D107" s="24" t="n"/>
      <c r="E107" s="24" t="n"/>
      <c r="F107" s="24" t="n"/>
      <c r="G107" s="24" t="n"/>
      <c r="H107" s="24" t="n"/>
      <c r="I107" s="24" t="n"/>
      <c r="J107" s="24" t="n"/>
      <c r="K107" s="24" t="n"/>
      <c r="L107" s="24" t="n"/>
      <c r="M107" s="24" t="n"/>
      <c r="N107" s="24" t="n"/>
      <c r="O107" s="24" t="n"/>
      <c r="P107" s="24" t="n"/>
      <c r="Q107" s="24" t="n"/>
      <c r="R107" s="24" t="n"/>
      <c r="S107" s="25" t="n"/>
      <c r="U107" s="155">
        <f>IF(AE107=6,"Yes","No")</f>
        <v/>
      </c>
      <c r="V107" s="156">
        <f>CONCATENATE(AQ108,"/", AQ81)</f>
        <v/>
      </c>
      <c r="W107" s="156">
        <f>CONCATENATE(AQ107,"/", "10")</f>
        <v/>
      </c>
      <c r="Y107" s="122">
        <f>IF(OR(D107=Dropdowns!$B$1,D107=Dropdowns!$B$2),1,0)</f>
        <v/>
      </c>
      <c r="Z107" s="122">
        <f>IF(OR(E107=Dropdowns!$B$1,E107=Dropdowns!$B$2),1,0)</f>
        <v/>
      </c>
      <c r="AA107" s="122">
        <f>IF(OR(F107=Dropdowns!$B$1,F107=Dropdowns!$B$2),1,0)</f>
        <v/>
      </c>
      <c r="AB107" s="122">
        <f>IF(OR(G107=Dropdowns!$B$1,G107=Dropdowns!$B$2),1,0)</f>
        <v/>
      </c>
      <c r="AC107" s="122">
        <f>IF(OR(H107=Dropdowns!$B$1,H107=Dropdowns!$B$2),1,0)</f>
        <v/>
      </c>
      <c r="AD107" s="122">
        <f>IF(OR(I107=Dropdowns!$B$1,I107=Dropdowns!$B$2),1,0)</f>
        <v/>
      </c>
      <c r="AE107" s="122">
        <f>SUM(Y107:AD107)</f>
        <v/>
      </c>
      <c r="AF107" s="122" t="n"/>
      <c r="AG107" s="122">
        <f>IF(OR(J107=Dropdowns!$B$1,J107=Dropdowns!$B$2),1,0)</f>
        <v/>
      </c>
      <c r="AH107" s="122">
        <f>IF(OR(K107=Dropdowns!$B$1,K107=Dropdowns!$B$2),1,0)</f>
        <v/>
      </c>
      <c r="AI107" s="122">
        <f>IF(OR(L107=Dropdowns!$B$1,L107=Dropdowns!$B$2),1,0)</f>
        <v/>
      </c>
      <c r="AJ107" s="122">
        <f>IF(OR(M107=Dropdowns!$B$1,M107=Dropdowns!$B$2),1,0)</f>
        <v/>
      </c>
      <c r="AK107" s="122">
        <f>IF(OR(N107=Dropdowns!$B$1,N107=Dropdowns!$B$2),1,0)</f>
        <v/>
      </c>
      <c r="AL107" s="122">
        <f>IF(OR(O107=Dropdowns!$B$1,O107=Dropdowns!$B$2),1,0)</f>
        <v/>
      </c>
      <c r="AM107" s="122">
        <f>IF(OR(P107=Dropdowns!$B$1,P107=Dropdowns!$B$2),1,0)</f>
        <v/>
      </c>
      <c r="AN107" s="122">
        <f>IF(OR(Q107=Dropdowns!$B$1,Q107=Dropdowns!$B$2),1,0)</f>
        <v/>
      </c>
      <c r="AO107" s="122">
        <f>IF(OR(R107=Dropdowns!$B$1,R107=Dropdowns!$B$2),1,0)</f>
        <v/>
      </c>
      <c r="AP107" s="122">
        <f>IF(OR(S107=Dropdowns!$B$1,S107=Dropdowns!$B$2),1,0)</f>
        <v/>
      </c>
      <c r="AQ107" s="120">
        <f>SUM(AG107:AP107)</f>
        <v/>
      </c>
    </row>
    <row r="108" hidden="1" outlineLevel="1" ht="65.09999999999999" customHeight="1" s="59" thickBot="1" thickTop="1">
      <c r="B108" s="187" t="n"/>
      <c r="C108" s="48" t="inlineStr">
        <is>
          <t>Notes/comments on investor alignment:</t>
        </is>
      </c>
      <c r="D108" s="26" t="n"/>
      <c r="E108" s="26" t="n"/>
      <c r="F108" s="26" t="n"/>
      <c r="G108" s="26" t="n"/>
      <c r="H108" s="26" t="n"/>
      <c r="I108" s="26" t="n"/>
      <c r="J108" s="26" t="n"/>
      <c r="K108" s="26" t="n"/>
      <c r="L108" s="26" t="n"/>
      <c r="M108" s="26" t="n"/>
      <c r="N108" s="26" t="n"/>
      <c r="O108" s="26" t="n"/>
      <c r="P108" s="26" t="n"/>
      <c r="Q108" s="26" t="n"/>
      <c r="R108" s="26" t="n"/>
      <c r="S108" s="27" t="n"/>
      <c r="U108" s="188" t="n"/>
      <c r="V108" s="188" t="n"/>
      <c r="W108" s="188" t="n"/>
      <c r="Y108" s="122" t="n"/>
      <c r="Z108" s="122" t="n"/>
      <c r="AA108" s="122" t="n"/>
      <c r="AB108" s="122" t="n"/>
      <c r="AC108" s="122" t="n"/>
      <c r="AD108" s="122" t="n"/>
      <c r="AE108" s="122" t="n"/>
      <c r="AF108" s="122" t="n"/>
      <c r="AG108" s="122">
        <f>IF(AG$9=1,AG107,0)</f>
        <v/>
      </c>
      <c r="AH108" s="122">
        <f>IF(AH$9=1,AH107,0)</f>
        <v/>
      </c>
      <c r="AI108" s="122">
        <f>IF(AI$9=1,AI107,0)</f>
        <v/>
      </c>
      <c r="AJ108" s="122">
        <f>IF(AJ$9=1,AJ107,0)</f>
        <v/>
      </c>
      <c r="AK108" s="122">
        <f>IF(AK$9=1,AK107,0)</f>
        <v/>
      </c>
      <c r="AL108" s="122">
        <f>IF(AL$9=1,AL107,0)</f>
        <v/>
      </c>
      <c r="AM108" s="122">
        <f>IF(AM$9=1,AM107,0)</f>
        <v/>
      </c>
      <c r="AN108" s="122">
        <f>IF(AN$9=1,AN107,0)</f>
        <v/>
      </c>
      <c r="AO108" s="122">
        <f>IF(AO$9=1,AO107,0)</f>
        <v/>
      </c>
      <c r="AP108" s="122">
        <f>IF(AP$9=1,AP107,0)</f>
        <v/>
      </c>
      <c r="AQ108" s="120">
        <f>SUM(AG108:AP108)</f>
        <v/>
      </c>
    </row>
    <row r="109" hidden="1" outlineLevel="1" ht="6" customHeight="1" s="59" thickBot="1">
      <c r="C109" s="51" t="n"/>
      <c r="D109" s="95" t="n"/>
      <c r="E109" s="95" t="n"/>
      <c r="F109" s="95" t="n"/>
      <c r="G109" s="95" t="n"/>
      <c r="H109" s="95" t="n"/>
      <c r="I109" s="95" t="n"/>
      <c r="J109" s="95" t="n"/>
      <c r="K109" s="95" t="n"/>
      <c r="L109" s="95" t="n"/>
      <c r="M109" s="95" t="n"/>
      <c r="N109" s="95" t="n"/>
      <c r="O109" s="95" t="n"/>
      <c r="P109" s="95" t="n"/>
      <c r="Q109" s="95" t="n"/>
      <c r="R109" s="95" t="n"/>
      <c r="S109" s="95" t="n"/>
      <c r="U109" s="35" t="n"/>
      <c r="Y109" s="122" t="inlineStr">
        <is>
          <t>D</t>
        </is>
      </c>
      <c r="Z109" s="122" t="inlineStr">
        <is>
          <t>E</t>
        </is>
      </c>
      <c r="AA109" s="122" t="inlineStr">
        <is>
          <t>F</t>
        </is>
      </c>
      <c r="AB109" s="122" t="inlineStr">
        <is>
          <t>G</t>
        </is>
      </c>
      <c r="AC109" s="122" t="inlineStr">
        <is>
          <t>H</t>
        </is>
      </c>
      <c r="AD109" s="122" t="inlineStr">
        <is>
          <t>I</t>
        </is>
      </c>
      <c r="AE109" s="122" t="inlineStr">
        <is>
          <t>Total</t>
        </is>
      </c>
      <c r="AF109" s="122" t="n"/>
      <c r="AG109" s="122" t="inlineStr">
        <is>
          <t>Very or somewhat aligned</t>
        </is>
      </c>
      <c r="AH109" s="122" t="n"/>
      <c r="AI109" s="122" t="n"/>
      <c r="AJ109" s="122" t="n"/>
      <c r="AK109" s="122" t="n"/>
      <c r="AL109" s="122" t="n"/>
      <c r="AM109" s="122" t="n"/>
      <c r="AN109" s="122" t="n"/>
      <c r="AO109" s="122" t="n"/>
      <c r="AP109" s="122" t="n"/>
      <c r="AQ109" s="122" t="n"/>
    </row>
    <row r="110" hidden="1" outlineLevel="1" ht="24.9" customHeight="1" s="59" thickBot="1" thickTop="1">
      <c r="B110" s="189" t="n"/>
      <c r="C110" s="47" t="inlineStr">
        <is>
          <t>Alignment
(dropdown menu):</t>
        </is>
      </c>
      <c r="D110" s="24" t="n"/>
      <c r="E110" s="24" t="n"/>
      <c r="F110" s="24" t="n"/>
      <c r="G110" s="24" t="n"/>
      <c r="H110" s="24" t="n"/>
      <c r="I110" s="24" t="n"/>
      <c r="J110" s="24" t="n"/>
      <c r="K110" s="24" t="n"/>
      <c r="L110" s="24" t="n"/>
      <c r="M110" s="24" t="n"/>
      <c r="N110" s="24" t="n"/>
      <c r="O110" s="24" t="n"/>
      <c r="P110" s="24" t="n"/>
      <c r="Q110" s="24" t="n"/>
      <c r="R110" s="24" t="n"/>
      <c r="S110" s="25" t="n"/>
      <c r="U110" s="155">
        <f>IF(AE110=6,"Yes","No")</f>
        <v/>
      </c>
      <c r="V110" s="156">
        <f>CONCATENATE(AQ111,"/", AQ84)</f>
        <v/>
      </c>
      <c r="W110" s="156">
        <f>CONCATENATE(AQ110,"/", "10")</f>
        <v/>
      </c>
      <c r="Y110" s="122">
        <f>IF(OR(D110=Dropdowns!$B$1,D110=Dropdowns!$B$2),1,0)</f>
        <v/>
      </c>
      <c r="Z110" s="122">
        <f>IF(OR(E110=Dropdowns!$B$1,E110=Dropdowns!$B$2),1,0)</f>
        <v/>
      </c>
      <c r="AA110" s="122">
        <f>IF(OR(F110=Dropdowns!$B$1,F110=Dropdowns!$B$2),1,0)</f>
        <v/>
      </c>
      <c r="AB110" s="122">
        <f>IF(OR(G110=Dropdowns!$B$1,G110=Dropdowns!$B$2),1,0)</f>
        <v/>
      </c>
      <c r="AC110" s="122">
        <f>IF(OR(H110=Dropdowns!$B$1,H110=Dropdowns!$B$2),1,0)</f>
        <v/>
      </c>
      <c r="AD110" s="122">
        <f>IF(OR(I110=Dropdowns!$B$1,I110=Dropdowns!$B$2),1,0)</f>
        <v/>
      </c>
      <c r="AE110" s="122">
        <f>SUM(Y110:AD110)</f>
        <v/>
      </c>
      <c r="AF110" s="122" t="n"/>
      <c r="AG110" s="122">
        <f>IF(OR(J110=Dropdowns!$B$1,J110=Dropdowns!$B$2),1,0)</f>
        <v/>
      </c>
      <c r="AH110" s="122">
        <f>IF(OR(K110=Dropdowns!$B$1,K110=Dropdowns!$B$2),1,0)</f>
        <v/>
      </c>
      <c r="AI110" s="122">
        <f>IF(OR(L110=Dropdowns!$B$1,L110=Dropdowns!$B$2),1,0)</f>
        <v/>
      </c>
      <c r="AJ110" s="122">
        <f>IF(OR(M110=Dropdowns!$B$1,M110=Dropdowns!$B$2),1,0)</f>
        <v/>
      </c>
      <c r="AK110" s="122">
        <f>IF(OR(N110=Dropdowns!$B$1,N110=Dropdowns!$B$2),1,0)</f>
        <v/>
      </c>
      <c r="AL110" s="122">
        <f>IF(OR(O110=Dropdowns!$B$1,O110=Dropdowns!$B$2),1,0)</f>
        <v/>
      </c>
      <c r="AM110" s="122">
        <f>IF(OR(P110=Dropdowns!$B$1,P110=Dropdowns!$B$2),1,0)</f>
        <v/>
      </c>
      <c r="AN110" s="122">
        <f>IF(OR(Q110=Dropdowns!$B$1,Q110=Dropdowns!$B$2),1,0)</f>
        <v/>
      </c>
      <c r="AO110" s="122">
        <f>IF(OR(R110=Dropdowns!$B$1,R110=Dropdowns!$B$2),1,0)</f>
        <v/>
      </c>
      <c r="AP110" s="122">
        <f>IF(OR(S110=Dropdowns!$B$1,S110=Dropdowns!$B$2),1,0)</f>
        <v/>
      </c>
      <c r="AQ110" s="120">
        <f>SUM(AG110:AP110)</f>
        <v/>
      </c>
    </row>
    <row r="111" hidden="1" outlineLevel="1" ht="65.09999999999999" customHeight="1" s="59" thickBot="1" thickTop="1">
      <c r="B111" s="187" t="n"/>
      <c r="C111" s="48" t="inlineStr">
        <is>
          <t>Notes/comments on investor alignment:</t>
        </is>
      </c>
      <c r="D111" s="26" t="n"/>
      <c r="E111" s="26" t="n"/>
      <c r="F111" s="26" t="n"/>
      <c r="G111" s="26" t="n"/>
      <c r="H111" s="26" t="n"/>
      <c r="I111" s="26" t="n"/>
      <c r="J111" s="26" t="n"/>
      <c r="K111" s="26" t="n"/>
      <c r="L111" s="26" t="n"/>
      <c r="M111" s="26" t="n"/>
      <c r="N111" s="26" t="n"/>
      <c r="O111" s="26" t="n"/>
      <c r="P111" s="26" t="n"/>
      <c r="Q111" s="26" t="n"/>
      <c r="R111" s="26" t="n"/>
      <c r="S111" s="27" t="n"/>
      <c r="U111" s="188" t="n"/>
      <c r="V111" s="188" t="n"/>
      <c r="W111" s="188" t="n"/>
      <c r="Y111" s="122" t="n"/>
      <c r="Z111" s="122" t="n"/>
      <c r="AA111" s="122" t="n"/>
      <c r="AB111" s="122" t="n"/>
      <c r="AC111" s="122" t="n"/>
      <c r="AD111" s="122" t="n"/>
      <c r="AE111" s="122" t="n"/>
      <c r="AF111" s="122" t="n"/>
      <c r="AG111" s="122">
        <f>IF(AG$9=1,AG110,0)</f>
        <v/>
      </c>
      <c r="AH111" s="122">
        <f>IF(AH$9=1,AH110,0)</f>
        <v/>
      </c>
      <c r="AI111" s="122">
        <f>IF(AI$9=1,AI110,0)</f>
        <v/>
      </c>
      <c r="AJ111" s="122">
        <f>IF(AJ$9=1,AJ110,0)</f>
        <v/>
      </c>
      <c r="AK111" s="122">
        <f>IF(AK$9=1,AK110,0)</f>
        <v/>
      </c>
      <c r="AL111" s="122">
        <f>IF(AL$9=1,AL110,0)</f>
        <v/>
      </c>
      <c r="AM111" s="122">
        <f>IF(AM$9=1,AM110,0)</f>
        <v/>
      </c>
      <c r="AN111" s="122">
        <f>IF(AN$9=1,AN110,0)</f>
        <v/>
      </c>
      <c r="AO111" s="122">
        <f>IF(AO$9=1,AO110,0)</f>
        <v/>
      </c>
      <c r="AP111" s="122">
        <f>IF(AP$9=1,AP110,0)</f>
        <v/>
      </c>
      <c r="AQ111" s="120">
        <f>SUM(AG111:AP111)</f>
        <v/>
      </c>
    </row>
    <row r="112" hidden="1" outlineLevel="1" ht="6" customHeight="1" s="59" thickBot="1">
      <c r="C112" s="51" t="n"/>
      <c r="D112" s="95" t="n"/>
      <c r="E112" s="95" t="n"/>
      <c r="F112" s="95" t="n"/>
      <c r="G112" s="95" t="n"/>
      <c r="H112" s="95" t="n"/>
      <c r="I112" s="95" t="n"/>
      <c r="J112" s="95" t="n"/>
      <c r="K112" s="95" t="n"/>
      <c r="L112" s="95" t="n"/>
      <c r="M112" s="95" t="n"/>
      <c r="N112" s="95" t="n"/>
      <c r="O112" s="95" t="n"/>
      <c r="P112" s="95" t="n"/>
      <c r="Q112" s="95" t="n"/>
      <c r="R112" s="95" t="n"/>
      <c r="S112" s="95" t="n"/>
      <c r="U112" s="35" t="n"/>
      <c r="Y112" s="122" t="inlineStr">
        <is>
          <t>D</t>
        </is>
      </c>
      <c r="Z112" s="122" t="inlineStr">
        <is>
          <t>E</t>
        </is>
      </c>
      <c r="AA112" s="122" t="inlineStr">
        <is>
          <t>F</t>
        </is>
      </c>
      <c r="AB112" s="122" t="inlineStr">
        <is>
          <t>G</t>
        </is>
      </c>
      <c r="AC112" s="122" t="inlineStr">
        <is>
          <t>H</t>
        </is>
      </c>
      <c r="AD112" s="122" t="inlineStr">
        <is>
          <t>I</t>
        </is>
      </c>
      <c r="AE112" s="122" t="inlineStr">
        <is>
          <t>Total</t>
        </is>
      </c>
      <c r="AF112" s="122" t="n"/>
      <c r="AG112" s="122" t="inlineStr">
        <is>
          <t>Very or somewhat aligned</t>
        </is>
      </c>
      <c r="AH112" s="122" t="n"/>
      <c r="AI112" s="122" t="n"/>
      <c r="AJ112" s="122" t="n"/>
      <c r="AK112" s="122" t="n"/>
      <c r="AL112" s="122" t="n"/>
      <c r="AM112" s="122" t="n"/>
      <c r="AN112" s="122" t="n"/>
      <c r="AO112" s="122" t="n"/>
      <c r="AP112" s="122" t="n"/>
      <c r="AQ112" s="122" t="n"/>
    </row>
    <row r="113" hidden="1" outlineLevel="1" ht="24.9" customHeight="1" s="59" thickBot="1" thickTop="1">
      <c r="B113" s="189" t="n"/>
      <c r="C113" s="47" t="inlineStr">
        <is>
          <t>Alignment
(dropdown menu):</t>
        </is>
      </c>
      <c r="D113" s="24" t="n"/>
      <c r="E113" s="24" t="n"/>
      <c r="F113" s="24" t="n"/>
      <c r="G113" s="24" t="n"/>
      <c r="H113" s="24" t="n"/>
      <c r="I113" s="24" t="n"/>
      <c r="J113" s="24" t="n"/>
      <c r="K113" s="24" t="n"/>
      <c r="L113" s="24" t="n"/>
      <c r="M113" s="24" t="n"/>
      <c r="N113" s="24" t="n"/>
      <c r="O113" s="24" t="n"/>
      <c r="P113" s="24" t="n"/>
      <c r="Q113" s="24" t="n"/>
      <c r="R113" s="24" t="n"/>
      <c r="S113" s="25" t="n"/>
      <c r="U113" s="155">
        <f>IF(AE113=6,"Yes","No")</f>
        <v/>
      </c>
      <c r="V113" s="156">
        <f>CONCATENATE(AQ114,"/", AQ87)</f>
        <v/>
      </c>
      <c r="W113" s="156">
        <f>CONCATENATE(AQ113,"/", "10")</f>
        <v/>
      </c>
      <c r="Y113" s="122">
        <f>IF(OR(D113=Dropdowns!$B$1,D113=Dropdowns!$B$2),1,0)</f>
        <v/>
      </c>
      <c r="Z113" s="122">
        <f>IF(OR(E113=Dropdowns!$B$1,E113=Dropdowns!$B$2),1,0)</f>
        <v/>
      </c>
      <c r="AA113" s="122">
        <f>IF(OR(F113=Dropdowns!$B$1,F113=Dropdowns!$B$2),1,0)</f>
        <v/>
      </c>
      <c r="AB113" s="122">
        <f>IF(OR(G113=Dropdowns!$B$1,G113=Dropdowns!$B$2),1,0)</f>
        <v/>
      </c>
      <c r="AC113" s="122">
        <f>IF(OR(H113=Dropdowns!$B$1,H113=Dropdowns!$B$2),1,0)</f>
        <v/>
      </c>
      <c r="AD113" s="122">
        <f>IF(OR(I113=Dropdowns!$B$1,I113=Dropdowns!$B$2),1,0)</f>
        <v/>
      </c>
      <c r="AE113" s="122">
        <f>SUM(Y113:AD113)</f>
        <v/>
      </c>
      <c r="AF113" s="122" t="n"/>
      <c r="AG113" s="122">
        <f>IF(OR(J113=Dropdowns!$B$1,J113=Dropdowns!$B$2),1,0)</f>
        <v/>
      </c>
      <c r="AH113" s="122">
        <f>IF(OR(K113=Dropdowns!$B$1,K113=Dropdowns!$B$2),1,0)</f>
        <v/>
      </c>
      <c r="AI113" s="122">
        <f>IF(OR(L113=Dropdowns!$B$1,L113=Dropdowns!$B$2),1,0)</f>
        <v/>
      </c>
      <c r="AJ113" s="122">
        <f>IF(OR(M113=Dropdowns!$B$1,M113=Dropdowns!$B$2),1,0)</f>
        <v/>
      </c>
      <c r="AK113" s="122">
        <f>IF(OR(N113=Dropdowns!$B$1,N113=Dropdowns!$B$2),1,0)</f>
        <v/>
      </c>
      <c r="AL113" s="122">
        <f>IF(OR(O113=Dropdowns!$B$1,O113=Dropdowns!$B$2),1,0)</f>
        <v/>
      </c>
      <c r="AM113" s="122">
        <f>IF(OR(P113=Dropdowns!$B$1,P113=Dropdowns!$B$2),1,0)</f>
        <v/>
      </c>
      <c r="AN113" s="122">
        <f>IF(OR(Q113=Dropdowns!$B$1,Q113=Dropdowns!$B$2),1,0)</f>
        <v/>
      </c>
      <c r="AO113" s="122">
        <f>IF(OR(R113=Dropdowns!$B$1,R113=Dropdowns!$B$2),1,0)</f>
        <v/>
      </c>
      <c r="AP113" s="122">
        <f>IF(OR(S113=Dropdowns!$B$1,S113=Dropdowns!$B$2),1,0)</f>
        <v/>
      </c>
      <c r="AQ113" s="120">
        <f>SUM(AG113:AP113)</f>
        <v/>
      </c>
    </row>
    <row r="114" hidden="1" outlineLevel="1" ht="65.09999999999999" customHeight="1" s="59" thickBot="1" thickTop="1">
      <c r="B114" s="187" t="n"/>
      <c r="C114" s="48" t="inlineStr">
        <is>
          <t>Notes/comments on investor alignment:</t>
        </is>
      </c>
      <c r="D114" s="26" t="n"/>
      <c r="E114" s="26" t="n"/>
      <c r="F114" s="26" t="n"/>
      <c r="G114" s="26" t="n"/>
      <c r="H114" s="26" t="n"/>
      <c r="I114" s="26" t="n"/>
      <c r="J114" s="26" t="n"/>
      <c r="K114" s="26" t="n"/>
      <c r="L114" s="26" t="n"/>
      <c r="M114" s="26" t="n"/>
      <c r="N114" s="26" t="n"/>
      <c r="O114" s="26" t="n"/>
      <c r="P114" s="26" t="n"/>
      <c r="Q114" s="26" t="n"/>
      <c r="R114" s="26" t="n"/>
      <c r="S114" s="27" t="n"/>
      <c r="U114" s="188" t="n"/>
      <c r="V114" s="188" t="n"/>
      <c r="W114" s="188" t="n"/>
      <c r="Y114" s="122" t="n"/>
      <c r="Z114" s="122" t="n"/>
      <c r="AA114" s="122" t="n"/>
      <c r="AB114" s="122" t="n"/>
      <c r="AC114" s="122" t="n"/>
      <c r="AD114" s="122" t="n"/>
      <c r="AE114" s="122" t="n"/>
      <c r="AF114" s="122" t="n"/>
      <c r="AG114" s="122">
        <f>IF(AG$9=1,AG113,0)</f>
        <v/>
      </c>
      <c r="AH114" s="122">
        <f>IF(AH$9=1,AH113,0)</f>
        <v/>
      </c>
      <c r="AI114" s="122">
        <f>IF(AI$9=1,AI113,0)</f>
        <v/>
      </c>
      <c r="AJ114" s="122">
        <f>IF(AJ$9=1,AJ113,0)</f>
        <v/>
      </c>
      <c r="AK114" s="122">
        <f>IF(AK$9=1,AK113,0)</f>
        <v/>
      </c>
      <c r="AL114" s="122">
        <f>IF(AL$9=1,AL113,0)</f>
        <v/>
      </c>
      <c r="AM114" s="122">
        <f>IF(AM$9=1,AM113,0)</f>
        <v/>
      </c>
      <c r="AN114" s="122">
        <f>IF(AN$9=1,AN113,0)</f>
        <v/>
      </c>
      <c r="AO114" s="122">
        <f>IF(AO$9=1,AO113,0)</f>
        <v/>
      </c>
      <c r="AP114" s="122">
        <f>IF(AP$9=1,AP113,0)</f>
        <v/>
      </c>
      <c r="AQ114" s="120">
        <f>SUM(AG114:AP114)</f>
        <v/>
      </c>
    </row>
    <row r="115" hidden="1" outlineLevel="1" ht="6" customHeight="1" s="59" thickBot="1">
      <c r="C115" s="51" t="n"/>
      <c r="D115" s="95" t="n"/>
      <c r="E115" s="95" t="n"/>
      <c r="F115" s="95" t="n"/>
      <c r="G115" s="95" t="n"/>
      <c r="H115" s="95" t="n"/>
      <c r="I115" s="95" t="n"/>
      <c r="J115" s="95" t="n"/>
      <c r="K115" s="95" t="n"/>
      <c r="L115" s="95" t="n"/>
      <c r="M115" s="95" t="n"/>
      <c r="N115" s="95" t="n"/>
      <c r="O115" s="95" t="n"/>
      <c r="P115" s="95" t="n"/>
      <c r="Q115" s="95" t="n"/>
      <c r="R115" s="95" t="n"/>
      <c r="S115" s="95" t="n"/>
      <c r="U115" s="35" t="n"/>
      <c r="Y115" s="122" t="inlineStr">
        <is>
          <t>D</t>
        </is>
      </c>
      <c r="Z115" s="122" t="inlineStr">
        <is>
          <t>E</t>
        </is>
      </c>
      <c r="AA115" s="122" t="inlineStr">
        <is>
          <t>F</t>
        </is>
      </c>
      <c r="AB115" s="122" t="inlineStr">
        <is>
          <t>G</t>
        </is>
      </c>
      <c r="AC115" s="122" t="inlineStr">
        <is>
          <t>H</t>
        </is>
      </c>
      <c r="AD115" s="122" t="inlineStr">
        <is>
          <t>I</t>
        </is>
      </c>
      <c r="AE115" s="122" t="inlineStr">
        <is>
          <t>Total</t>
        </is>
      </c>
      <c r="AF115" s="122" t="n"/>
      <c r="AG115" s="122" t="inlineStr">
        <is>
          <t>Very or somewhat aligned</t>
        </is>
      </c>
      <c r="AH115" s="122" t="n"/>
      <c r="AI115" s="122" t="n"/>
      <c r="AJ115" s="122" t="n"/>
      <c r="AK115" s="122" t="n"/>
      <c r="AL115" s="122" t="n"/>
      <c r="AM115" s="122" t="n"/>
      <c r="AN115" s="122" t="n"/>
      <c r="AO115" s="122" t="n"/>
      <c r="AP115" s="122" t="n"/>
      <c r="AQ115" s="122" t="n"/>
    </row>
    <row r="116" hidden="1" outlineLevel="1" ht="24.9" customHeight="1" s="59" thickBot="1" thickTop="1">
      <c r="B116" s="189" t="n"/>
      <c r="C116" s="47" t="inlineStr">
        <is>
          <t>Alignment
(dropdown menu):</t>
        </is>
      </c>
      <c r="D116" s="24" t="n"/>
      <c r="E116" s="24" t="n"/>
      <c r="F116" s="24" t="n"/>
      <c r="G116" s="24" t="n"/>
      <c r="H116" s="24" t="n"/>
      <c r="I116" s="24" t="n"/>
      <c r="J116" s="24" t="n"/>
      <c r="K116" s="24" t="n"/>
      <c r="L116" s="24" t="n"/>
      <c r="M116" s="24" t="n"/>
      <c r="N116" s="24" t="n"/>
      <c r="O116" s="24" t="n"/>
      <c r="P116" s="24" t="n"/>
      <c r="Q116" s="24" t="n"/>
      <c r="R116" s="24" t="n"/>
      <c r="S116" s="25" t="n"/>
      <c r="U116" s="155">
        <f>IF(AE116=6,"Yes","No")</f>
        <v/>
      </c>
      <c r="V116" s="156">
        <f>CONCATENATE(AQ117,"/", AQ90)</f>
        <v/>
      </c>
      <c r="W116" s="156">
        <f>CONCATENATE(AQ116,"/", "10")</f>
        <v/>
      </c>
      <c r="Y116" s="122">
        <f>IF(OR(D116=Dropdowns!$B$1,D116=Dropdowns!$B$2),1,0)</f>
        <v/>
      </c>
      <c r="Z116" s="122">
        <f>IF(OR(E116=Dropdowns!$B$1,E116=Dropdowns!$B$2),1,0)</f>
        <v/>
      </c>
      <c r="AA116" s="122">
        <f>IF(OR(F116=Dropdowns!$B$1,F116=Dropdowns!$B$2),1,0)</f>
        <v/>
      </c>
      <c r="AB116" s="122">
        <f>IF(OR(G116=Dropdowns!$B$1,G116=Dropdowns!$B$2),1,0)</f>
        <v/>
      </c>
      <c r="AC116" s="122">
        <f>IF(OR(H116=Dropdowns!$B$1,H116=Dropdowns!$B$2),1,0)</f>
        <v/>
      </c>
      <c r="AD116" s="122">
        <f>IF(OR(I116=Dropdowns!$B$1,I116=Dropdowns!$B$2),1,0)</f>
        <v/>
      </c>
      <c r="AE116" s="122">
        <f>SUM(Y116:AD116)</f>
        <v/>
      </c>
      <c r="AF116" s="122" t="n"/>
      <c r="AG116" s="122">
        <f>IF(OR(J116=Dropdowns!$B$1,J116=Dropdowns!$B$2),1,0)</f>
        <v/>
      </c>
      <c r="AH116" s="122">
        <f>IF(OR(K116=Dropdowns!$B$1,K116=Dropdowns!$B$2),1,0)</f>
        <v/>
      </c>
      <c r="AI116" s="122">
        <f>IF(OR(L116=Dropdowns!$B$1,L116=Dropdowns!$B$2),1,0)</f>
        <v/>
      </c>
      <c r="AJ116" s="122">
        <f>IF(OR(M116=Dropdowns!$B$1,M116=Dropdowns!$B$2),1,0)</f>
        <v/>
      </c>
      <c r="AK116" s="122">
        <f>IF(OR(N116=Dropdowns!$B$1,N116=Dropdowns!$B$2),1,0)</f>
        <v/>
      </c>
      <c r="AL116" s="122">
        <f>IF(OR(O116=Dropdowns!$B$1,O116=Dropdowns!$B$2),1,0)</f>
        <v/>
      </c>
      <c r="AM116" s="122">
        <f>IF(OR(P116=Dropdowns!$B$1,P116=Dropdowns!$B$2),1,0)</f>
        <v/>
      </c>
      <c r="AN116" s="122">
        <f>IF(OR(Q116=Dropdowns!$B$1,Q116=Dropdowns!$B$2),1,0)</f>
        <v/>
      </c>
      <c r="AO116" s="122">
        <f>IF(OR(R116=Dropdowns!$B$1,R116=Dropdowns!$B$2),1,0)</f>
        <v/>
      </c>
      <c r="AP116" s="122">
        <f>IF(OR(S116=Dropdowns!$B$1,S116=Dropdowns!$B$2),1,0)</f>
        <v/>
      </c>
      <c r="AQ116" s="120">
        <f>SUM(AG116:AP116)</f>
        <v/>
      </c>
    </row>
    <row r="117" hidden="1" outlineLevel="1" ht="65.09999999999999" customHeight="1" s="59" thickBot="1" thickTop="1">
      <c r="B117" s="187" t="n"/>
      <c r="C117" s="48" t="inlineStr">
        <is>
          <t>Notes/comments on investor alignment:</t>
        </is>
      </c>
      <c r="D117" s="26" t="n"/>
      <c r="E117" s="26" t="n"/>
      <c r="F117" s="26" t="n"/>
      <c r="G117" s="26" t="n"/>
      <c r="H117" s="26" t="n"/>
      <c r="I117" s="26" t="n"/>
      <c r="J117" s="26" t="n"/>
      <c r="K117" s="26" t="n"/>
      <c r="L117" s="26" t="n"/>
      <c r="M117" s="26" t="n"/>
      <c r="N117" s="26" t="n"/>
      <c r="O117" s="26" t="n"/>
      <c r="P117" s="26" t="n"/>
      <c r="Q117" s="26" t="n"/>
      <c r="R117" s="26" t="n"/>
      <c r="S117" s="27" t="n"/>
      <c r="U117" s="188" t="n"/>
      <c r="V117" s="188" t="n"/>
      <c r="W117" s="188" t="n"/>
      <c r="Y117" s="122" t="n"/>
      <c r="Z117" s="122" t="n"/>
      <c r="AA117" s="122" t="n"/>
      <c r="AB117" s="122" t="n"/>
      <c r="AC117" s="122" t="n"/>
      <c r="AD117" s="122" t="n"/>
      <c r="AE117" s="122" t="n"/>
      <c r="AF117" s="122" t="n"/>
      <c r="AG117" s="122">
        <f>IF(AG$9=1,AG116,0)</f>
        <v/>
      </c>
      <c r="AH117" s="122">
        <f>IF(AH$9=1,AH116,0)</f>
        <v/>
      </c>
      <c r="AI117" s="122">
        <f>IF(AI$9=1,AI116,0)</f>
        <v/>
      </c>
      <c r="AJ117" s="122">
        <f>IF(AJ$9=1,AJ116,0)</f>
        <v/>
      </c>
      <c r="AK117" s="122">
        <f>IF(AK$9=1,AK116,0)</f>
        <v/>
      </c>
      <c r="AL117" s="122">
        <f>IF(AL$9=1,AL116,0)</f>
        <v/>
      </c>
      <c r="AM117" s="122">
        <f>IF(AM$9=1,AM116,0)</f>
        <v/>
      </c>
      <c r="AN117" s="122">
        <f>IF(AN$9=1,AN116,0)</f>
        <v/>
      </c>
      <c r="AO117" s="122">
        <f>IF(AO$9=1,AO116,0)</f>
        <v/>
      </c>
      <c r="AP117" s="122">
        <f>IF(AP$9=1,AP116,0)</f>
        <v/>
      </c>
      <c r="AQ117" s="120">
        <f>SUM(AG117:AP117)</f>
        <v/>
      </c>
    </row>
    <row r="118" hidden="1" outlineLevel="1" ht="6" customHeight="1" s="59" thickBot="1">
      <c r="C118" s="51" t="n"/>
      <c r="D118" s="95" t="n"/>
      <c r="E118" s="95" t="n"/>
      <c r="F118" s="95" t="n"/>
      <c r="G118" s="95" t="n"/>
      <c r="H118" s="95" t="n"/>
      <c r="I118" s="95" t="n"/>
      <c r="J118" s="95" t="n"/>
      <c r="K118" s="95" t="n"/>
      <c r="L118" s="95" t="n"/>
      <c r="M118" s="95" t="n"/>
      <c r="N118" s="95" t="n"/>
      <c r="O118" s="95" t="n"/>
      <c r="P118" s="95" t="n"/>
      <c r="Q118" s="95" t="n"/>
      <c r="R118" s="95" t="n"/>
      <c r="S118" s="95" t="n"/>
      <c r="U118" s="35" t="n"/>
      <c r="Y118" s="122" t="inlineStr">
        <is>
          <t>D</t>
        </is>
      </c>
      <c r="Z118" s="122" t="inlineStr">
        <is>
          <t>E</t>
        </is>
      </c>
      <c r="AA118" s="122" t="inlineStr">
        <is>
          <t>F</t>
        </is>
      </c>
      <c r="AB118" s="122" t="inlineStr">
        <is>
          <t>G</t>
        </is>
      </c>
      <c r="AC118" s="122" t="inlineStr">
        <is>
          <t>H</t>
        </is>
      </c>
      <c r="AD118" s="122" t="inlineStr">
        <is>
          <t>I</t>
        </is>
      </c>
      <c r="AE118" s="122" t="inlineStr">
        <is>
          <t>Total</t>
        </is>
      </c>
      <c r="AF118" s="122" t="n"/>
      <c r="AG118" s="122" t="inlineStr">
        <is>
          <t>Very or somewhat aligned</t>
        </is>
      </c>
      <c r="AH118" s="122" t="n"/>
      <c r="AI118" s="122" t="n"/>
      <c r="AJ118" s="122" t="n"/>
      <c r="AK118" s="122" t="n"/>
      <c r="AL118" s="122" t="n"/>
      <c r="AM118" s="122" t="n"/>
      <c r="AN118" s="122" t="n"/>
      <c r="AO118" s="122" t="n"/>
      <c r="AP118" s="122" t="n"/>
      <c r="AQ118" s="122" t="n"/>
    </row>
    <row r="119" hidden="1" outlineLevel="1" ht="24.9" customHeight="1" s="59" thickBot="1" thickTop="1">
      <c r="B119" s="189" t="n"/>
      <c r="C119" s="47" t="inlineStr">
        <is>
          <t>Alignment
(dropdown menu):</t>
        </is>
      </c>
      <c r="D119" s="24" t="n"/>
      <c r="E119" s="24" t="n"/>
      <c r="F119" s="24" t="n"/>
      <c r="G119" s="24" t="n"/>
      <c r="H119" s="24" t="n"/>
      <c r="I119" s="24" t="n"/>
      <c r="J119" s="24" t="n"/>
      <c r="K119" s="24" t="n"/>
      <c r="L119" s="24" t="n"/>
      <c r="M119" s="24" t="n"/>
      <c r="N119" s="24" t="n"/>
      <c r="O119" s="24" t="n"/>
      <c r="P119" s="24" t="n"/>
      <c r="Q119" s="24" t="n"/>
      <c r="R119" s="24" t="n"/>
      <c r="S119" s="25" t="n"/>
      <c r="U119" s="155">
        <f>IF(AE119=6,"Yes","No")</f>
        <v/>
      </c>
      <c r="V119" s="156">
        <f>CONCATENATE(AQ120,"/", AQ93)</f>
        <v/>
      </c>
      <c r="W119" s="156">
        <f>CONCATENATE(AQ119,"/", "10")</f>
        <v/>
      </c>
      <c r="Y119" s="122">
        <f>IF(OR(D119=Dropdowns!$B$1,D119=Dropdowns!$B$2),1,0)</f>
        <v/>
      </c>
      <c r="Z119" s="122">
        <f>IF(OR(E119=Dropdowns!$B$1,E119=Dropdowns!$B$2),1,0)</f>
        <v/>
      </c>
      <c r="AA119" s="122">
        <f>IF(OR(F119=Dropdowns!$B$1,F119=Dropdowns!$B$2),1,0)</f>
        <v/>
      </c>
      <c r="AB119" s="122">
        <f>IF(OR(G119=Dropdowns!$B$1,G119=Dropdowns!$B$2),1,0)</f>
        <v/>
      </c>
      <c r="AC119" s="122">
        <f>IF(OR(H119=Dropdowns!$B$1,H119=Dropdowns!$B$2),1,0)</f>
        <v/>
      </c>
      <c r="AD119" s="122">
        <f>IF(OR(I119=Dropdowns!$B$1,I119=Dropdowns!$B$2),1,0)</f>
        <v/>
      </c>
      <c r="AE119" s="122">
        <f>SUM(Y119:AD119)</f>
        <v/>
      </c>
      <c r="AF119" s="122" t="n"/>
      <c r="AG119" s="122">
        <f>IF(OR(J119=Dropdowns!$B$1,J119=Dropdowns!$B$2),1,0)</f>
        <v/>
      </c>
      <c r="AH119" s="122">
        <f>IF(OR(K119=Dropdowns!$B$1,K119=Dropdowns!$B$2),1,0)</f>
        <v/>
      </c>
      <c r="AI119" s="122">
        <f>IF(OR(L119=Dropdowns!$B$1,L119=Dropdowns!$B$2),1,0)</f>
        <v/>
      </c>
      <c r="AJ119" s="122">
        <f>IF(OR(M119=Dropdowns!$B$1,M119=Dropdowns!$B$2),1,0)</f>
        <v/>
      </c>
      <c r="AK119" s="122">
        <f>IF(OR(N119=Dropdowns!$B$1,N119=Dropdowns!$B$2),1,0)</f>
        <v/>
      </c>
      <c r="AL119" s="122">
        <f>IF(OR(O119=Dropdowns!$B$1,O119=Dropdowns!$B$2),1,0)</f>
        <v/>
      </c>
      <c r="AM119" s="122">
        <f>IF(OR(P119=Dropdowns!$B$1,P119=Dropdowns!$B$2),1,0)</f>
        <v/>
      </c>
      <c r="AN119" s="122">
        <f>IF(OR(Q119=Dropdowns!$B$1,Q119=Dropdowns!$B$2),1,0)</f>
        <v/>
      </c>
      <c r="AO119" s="122">
        <f>IF(OR(R119=Dropdowns!$B$1,R119=Dropdowns!$B$2),1,0)</f>
        <v/>
      </c>
      <c r="AP119" s="122">
        <f>IF(OR(S119=Dropdowns!$B$1,S119=Dropdowns!$B$2),1,0)</f>
        <v/>
      </c>
      <c r="AQ119" s="120">
        <f>SUM(AG119:AP119)</f>
        <v/>
      </c>
    </row>
    <row r="120" hidden="1" outlineLevel="1" ht="65.09999999999999" customHeight="1" s="59" thickBot="1" thickTop="1">
      <c r="B120" s="187" t="n"/>
      <c r="C120" s="48" t="inlineStr">
        <is>
          <t>Notes/comments on investor alignment:</t>
        </is>
      </c>
      <c r="D120" s="26" t="n"/>
      <c r="E120" s="26" t="n"/>
      <c r="F120" s="26" t="n"/>
      <c r="G120" s="26" t="n"/>
      <c r="H120" s="26" t="n"/>
      <c r="I120" s="26" t="n"/>
      <c r="J120" s="26" t="n"/>
      <c r="K120" s="26" t="n"/>
      <c r="L120" s="26" t="n"/>
      <c r="M120" s="26" t="n"/>
      <c r="N120" s="26" t="n"/>
      <c r="O120" s="26" t="n"/>
      <c r="P120" s="26" t="n"/>
      <c r="Q120" s="26" t="n"/>
      <c r="R120" s="26" t="n"/>
      <c r="S120" s="27" t="n"/>
      <c r="U120" s="188" t="n"/>
      <c r="V120" s="188" t="n"/>
      <c r="W120" s="188" t="n"/>
      <c r="Y120" s="122" t="n"/>
      <c r="Z120" s="122" t="n"/>
      <c r="AA120" s="122" t="n"/>
      <c r="AB120" s="122" t="n"/>
      <c r="AC120" s="122" t="n"/>
      <c r="AD120" s="122" t="n"/>
      <c r="AE120" s="122" t="n"/>
      <c r="AF120" s="122" t="n"/>
      <c r="AG120" s="122">
        <f>IF(AG$9=1,AG119,0)</f>
        <v/>
      </c>
      <c r="AH120" s="122">
        <f>IF(AH$9=1,AH119,0)</f>
        <v/>
      </c>
      <c r="AI120" s="122">
        <f>IF(AI$9=1,AI119,0)</f>
        <v/>
      </c>
      <c r="AJ120" s="122">
        <f>IF(AJ$9=1,AJ119,0)</f>
        <v/>
      </c>
      <c r="AK120" s="122">
        <f>IF(AK$9=1,AK119,0)</f>
        <v/>
      </c>
      <c r="AL120" s="122">
        <f>IF(AL$9=1,AL119,0)</f>
        <v/>
      </c>
      <c r="AM120" s="122">
        <f>IF(AM$9=1,AM119,0)</f>
        <v/>
      </c>
      <c r="AN120" s="122">
        <f>IF(AN$9=1,AN119,0)</f>
        <v/>
      </c>
      <c r="AO120" s="122">
        <f>IF(AO$9=1,AO119,0)</f>
        <v/>
      </c>
      <c r="AP120" s="122">
        <f>IF(AP$9=1,AP119,0)</f>
        <v/>
      </c>
      <c r="AQ120" s="120">
        <f>SUM(AG120:AP120)</f>
        <v/>
      </c>
    </row>
    <row r="121" hidden="1" outlineLevel="1" ht="6" customHeight="1" s="59" thickBot="1">
      <c r="C121" s="51" t="n"/>
      <c r="D121" s="95" t="n"/>
      <c r="E121" s="95" t="n"/>
      <c r="F121" s="95" t="n"/>
      <c r="G121" s="95" t="n"/>
      <c r="H121" s="95" t="n"/>
      <c r="I121" s="95" t="n"/>
      <c r="J121" s="95" t="n"/>
      <c r="K121" s="95" t="n"/>
      <c r="L121" s="95" t="n"/>
      <c r="M121" s="95" t="n"/>
      <c r="N121" s="95" t="n"/>
      <c r="O121" s="95" t="n"/>
      <c r="P121" s="95" t="n"/>
      <c r="Q121" s="95" t="n"/>
      <c r="R121" s="95" t="n"/>
      <c r="S121" s="95" t="n"/>
      <c r="U121" s="35" t="n"/>
      <c r="Y121" s="122" t="inlineStr">
        <is>
          <t>D</t>
        </is>
      </c>
      <c r="Z121" s="122" t="inlineStr">
        <is>
          <t>E</t>
        </is>
      </c>
      <c r="AA121" s="122" t="inlineStr">
        <is>
          <t>F</t>
        </is>
      </c>
      <c r="AB121" s="122" t="inlineStr">
        <is>
          <t>G</t>
        </is>
      </c>
      <c r="AC121" s="122" t="inlineStr">
        <is>
          <t>H</t>
        </is>
      </c>
      <c r="AD121" s="122" t="inlineStr">
        <is>
          <t>I</t>
        </is>
      </c>
      <c r="AE121" s="122" t="inlineStr">
        <is>
          <t>Total</t>
        </is>
      </c>
      <c r="AF121" s="122" t="n"/>
      <c r="AG121" s="122" t="inlineStr">
        <is>
          <t>Very or somewhat aligned</t>
        </is>
      </c>
      <c r="AH121" s="122" t="n"/>
      <c r="AI121" s="122" t="n"/>
      <c r="AJ121" s="122" t="n"/>
      <c r="AK121" s="122" t="n"/>
      <c r="AL121" s="122" t="n"/>
      <c r="AM121" s="122" t="n"/>
      <c r="AN121" s="122" t="n"/>
      <c r="AO121" s="122" t="n"/>
      <c r="AP121" s="122" t="n"/>
      <c r="AQ121" s="122" t="n"/>
    </row>
    <row r="122" hidden="1" outlineLevel="1" ht="24.9" customHeight="1" s="59" thickBot="1" thickTop="1">
      <c r="B122" s="189" t="n"/>
      <c r="C122" s="47" t="inlineStr">
        <is>
          <t>Alignment
(dropdown menu):</t>
        </is>
      </c>
      <c r="D122" s="24" t="n"/>
      <c r="E122" s="24" t="n"/>
      <c r="F122" s="24" t="n"/>
      <c r="G122" s="24" t="n"/>
      <c r="H122" s="24" t="n"/>
      <c r="I122" s="24" t="n"/>
      <c r="J122" s="24" t="n"/>
      <c r="K122" s="24" t="n"/>
      <c r="L122" s="24" t="n"/>
      <c r="M122" s="24" t="n"/>
      <c r="N122" s="24" t="n"/>
      <c r="O122" s="24" t="n"/>
      <c r="P122" s="24" t="n"/>
      <c r="Q122" s="24" t="n"/>
      <c r="R122" s="24" t="n"/>
      <c r="S122" s="25" t="n"/>
      <c r="U122" s="155">
        <f>IF(AE122=6,"Yes","No")</f>
        <v/>
      </c>
      <c r="V122" s="156">
        <f>CONCATENATE(AQ123,"/", AQ96)</f>
        <v/>
      </c>
      <c r="W122" s="156">
        <f>CONCATENATE(AQ122,"/", "10")</f>
        <v/>
      </c>
      <c r="Y122" s="122">
        <f>IF(OR(D122=Dropdowns!$B$1,D122=Dropdowns!$B$2),1,0)</f>
        <v/>
      </c>
      <c r="Z122" s="122">
        <f>IF(OR(E122=Dropdowns!$B$1,E122=Dropdowns!$B$2),1,0)</f>
        <v/>
      </c>
      <c r="AA122" s="122">
        <f>IF(OR(F122=Dropdowns!$B$1,F122=Dropdowns!$B$2),1,0)</f>
        <v/>
      </c>
      <c r="AB122" s="122">
        <f>IF(OR(G122=Dropdowns!$B$1,G122=Dropdowns!$B$2),1,0)</f>
        <v/>
      </c>
      <c r="AC122" s="122">
        <f>IF(OR(H122=Dropdowns!$B$1,H122=Dropdowns!$B$2),1,0)</f>
        <v/>
      </c>
      <c r="AD122" s="122">
        <f>IF(OR(I122=Dropdowns!$B$1,I122=Dropdowns!$B$2),1,0)</f>
        <v/>
      </c>
      <c r="AE122" s="122">
        <f>SUM(Y122:AD122)</f>
        <v/>
      </c>
      <c r="AF122" s="122" t="n"/>
      <c r="AG122" s="122">
        <f>IF(OR(J122=Dropdowns!$B$1,J122=Dropdowns!$B$2),1,0)</f>
        <v/>
      </c>
      <c r="AH122" s="122">
        <f>IF(OR(K122=Dropdowns!$B$1,K122=Dropdowns!$B$2),1,0)</f>
        <v/>
      </c>
      <c r="AI122" s="122">
        <f>IF(OR(L122=Dropdowns!$B$1,L122=Dropdowns!$B$2),1,0)</f>
        <v/>
      </c>
      <c r="AJ122" s="122">
        <f>IF(OR(M122=Dropdowns!$B$1,M122=Dropdowns!$B$2),1,0)</f>
        <v/>
      </c>
      <c r="AK122" s="122">
        <f>IF(OR(N122=Dropdowns!$B$1,N122=Dropdowns!$B$2),1,0)</f>
        <v/>
      </c>
      <c r="AL122" s="122">
        <f>IF(OR(O122=Dropdowns!$B$1,O122=Dropdowns!$B$2),1,0)</f>
        <v/>
      </c>
      <c r="AM122" s="122">
        <f>IF(OR(P122=Dropdowns!$B$1,P122=Dropdowns!$B$2),1,0)</f>
        <v/>
      </c>
      <c r="AN122" s="122">
        <f>IF(OR(Q122=Dropdowns!$B$1,Q122=Dropdowns!$B$2),1,0)</f>
        <v/>
      </c>
      <c r="AO122" s="122">
        <f>IF(OR(R122=Dropdowns!$B$1,R122=Dropdowns!$B$2),1,0)</f>
        <v/>
      </c>
      <c r="AP122" s="122">
        <f>IF(OR(S122=Dropdowns!$B$1,S122=Dropdowns!$B$2),1,0)</f>
        <v/>
      </c>
      <c r="AQ122" s="120">
        <f>SUM(AG122:AP122)</f>
        <v/>
      </c>
    </row>
    <row r="123" hidden="1" outlineLevel="1" ht="65.09999999999999" customHeight="1" s="59" thickBot="1" thickTop="1">
      <c r="B123" s="187" t="n"/>
      <c r="C123" s="48" t="inlineStr">
        <is>
          <t>Notes/comments on investor alignment:</t>
        </is>
      </c>
      <c r="D123" s="26" t="n"/>
      <c r="E123" s="26" t="n"/>
      <c r="F123" s="26" t="n"/>
      <c r="G123" s="26" t="n"/>
      <c r="H123" s="26" t="n"/>
      <c r="I123" s="26" t="n"/>
      <c r="J123" s="26" t="n"/>
      <c r="K123" s="26" t="n"/>
      <c r="L123" s="26" t="n"/>
      <c r="M123" s="26" t="n"/>
      <c r="N123" s="26" t="n"/>
      <c r="O123" s="26" t="n"/>
      <c r="P123" s="26" t="n"/>
      <c r="Q123" s="26" t="n"/>
      <c r="R123" s="26" t="n"/>
      <c r="S123" s="27" t="n"/>
      <c r="U123" s="188" t="n"/>
      <c r="V123" s="188" t="n"/>
      <c r="W123" s="188" t="n"/>
      <c r="Y123" s="122" t="n"/>
      <c r="Z123" s="122" t="n"/>
      <c r="AA123" s="122" t="n"/>
      <c r="AB123" s="122" t="n"/>
      <c r="AC123" s="122" t="n"/>
      <c r="AD123" s="122" t="n"/>
      <c r="AE123" s="122" t="n"/>
      <c r="AF123" s="122" t="n"/>
      <c r="AG123" s="122">
        <f>IF(AG$9=1,AG122,0)</f>
        <v/>
      </c>
      <c r="AH123" s="122">
        <f>IF(AH$9=1,AH122,0)</f>
        <v/>
      </c>
      <c r="AI123" s="122">
        <f>IF(AI$9=1,AI122,0)</f>
        <v/>
      </c>
      <c r="AJ123" s="122">
        <f>IF(AJ$9=1,AJ122,0)</f>
        <v/>
      </c>
      <c r="AK123" s="122">
        <f>IF(AK$9=1,AK122,0)</f>
        <v/>
      </c>
      <c r="AL123" s="122">
        <f>IF(AL$9=1,AL122,0)</f>
        <v/>
      </c>
      <c r="AM123" s="122">
        <f>IF(AM$9=1,AM122,0)</f>
        <v/>
      </c>
      <c r="AN123" s="122">
        <f>IF(AN$9=1,AN122,0)</f>
        <v/>
      </c>
      <c r="AO123" s="122">
        <f>IF(AO$9=1,AO122,0)</f>
        <v/>
      </c>
      <c r="AP123" s="122">
        <f>IF(AP$9=1,AP122,0)</f>
        <v/>
      </c>
      <c r="AQ123" s="120">
        <f>SUM(AG123:AP123)</f>
        <v/>
      </c>
    </row>
    <row r="124" hidden="1" outlineLevel="1" ht="6" customHeight="1" s="59" thickBot="1">
      <c r="C124" s="51" t="n"/>
      <c r="D124" s="95" t="n"/>
      <c r="E124" s="95" t="n"/>
      <c r="F124" s="95" t="n"/>
      <c r="G124" s="95" t="n"/>
      <c r="H124" s="95" t="n"/>
      <c r="I124" s="95" t="n"/>
      <c r="J124" s="95" t="n"/>
      <c r="K124" s="95" t="n"/>
      <c r="L124" s="95" t="n"/>
      <c r="M124" s="95" t="n"/>
      <c r="N124" s="95" t="n"/>
      <c r="O124" s="95" t="n"/>
      <c r="P124" s="95" t="n"/>
      <c r="Q124" s="95" t="n"/>
      <c r="R124" s="95" t="n"/>
      <c r="S124" s="95" t="n"/>
      <c r="U124" s="35" t="n"/>
      <c r="Y124" s="122" t="inlineStr">
        <is>
          <t>D</t>
        </is>
      </c>
      <c r="Z124" s="122" t="inlineStr">
        <is>
          <t>E</t>
        </is>
      </c>
      <c r="AA124" s="122" t="inlineStr">
        <is>
          <t>F</t>
        </is>
      </c>
      <c r="AB124" s="122" t="inlineStr">
        <is>
          <t>G</t>
        </is>
      </c>
      <c r="AC124" s="122" t="inlineStr">
        <is>
          <t>H</t>
        </is>
      </c>
      <c r="AD124" s="122" t="inlineStr">
        <is>
          <t>I</t>
        </is>
      </c>
      <c r="AE124" s="122" t="inlineStr">
        <is>
          <t>Total</t>
        </is>
      </c>
      <c r="AF124" s="122" t="n"/>
      <c r="AG124" s="122" t="inlineStr">
        <is>
          <t>Very or somewhat aligned</t>
        </is>
      </c>
      <c r="AH124" s="122" t="n"/>
      <c r="AI124" s="122" t="n"/>
      <c r="AJ124" s="122" t="n"/>
      <c r="AK124" s="122" t="n"/>
      <c r="AL124" s="122" t="n"/>
      <c r="AM124" s="122" t="n"/>
      <c r="AN124" s="122" t="n"/>
      <c r="AO124" s="122" t="n"/>
      <c r="AP124" s="122" t="n"/>
      <c r="AQ124" s="122" t="n"/>
    </row>
    <row r="125" hidden="1" outlineLevel="1" ht="24.9" customHeight="1" s="59" thickBot="1" thickTop="1">
      <c r="B125" s="189" t="n"/>
      <c r="C125" s="47" t="inlineStr">
        <is>
          <t>Alignment
(dropdown menu):</t>
        </is>
      </c>
      <c r="D125" s="24" t="n"/>
      <c r="E125" s="24" t="n"/>
      <c r="F125" s="24" t="n"/>
      <c r="G125" s="24" t="n"/>
      <c r="H125" s="24" t="n"/>
      <c r="I125" s="24" t="n"/>
      <c r="J125" s="24" t="n"/>
      <c r="K125" s="24" t="n"/>
      <c r="L125" s="24" t="n"/>
      <c r="M125" s="24" t="n"/>
      <c r="N125" s="24" t="n"/>
      <c r="O125" s="24" t="n"/>
      <c r="P125" s="24" t="n"/>
      <c r="Q125" s="24" t="n"/>
      <c r="R125" s="24" t="n"/>
      <c r="S125" s="25" t="n"/>
      <c r="U125" s="155">
        <f>IF(AE125=6,"Yes","No")</f>
        <v/>
      </c>
      <c r="V125" s="156">
        <f>CONCATENATE(AQ126,"/", AQ99)</f>
        <v/>
      </c>
      <c r="W125" s="156">
        <f>CONCATENATE(AQ125,"/", "10")</f>
        <v/>
      </c>
      <c r="Y125" s="122">
        <f>IF(OR(D125=Dropdowns!$B$1,D125=Dropdowns!$B$2),1,0)</f>
        <v/>
      </c>
      <c r="Z125" s="122">
        <f>IF(OR(E125=Dropdowns!$B$1,E125=Dropdowns!$B$2),1,0)</f>
        <v/>
      </c>
      <c r="AA125" s="122">
        <f>IF(OR(F125=Dropdowns!$B$1,F125=Dropdowns!$B$2),1,0)</f>
        <v/>
      </c>
      <c r="AB125" s="122">
        <f>IF(OR(G125=Dropdowns!$B$1,G125=Dropdowns!$B$2),1,0)</f>
        <v/>
      </c>
      <c r="AC125" s="122">
        <f>IF(OR(H125=Dropdowns!$B$1,H125=Dropdowns!$B$2),1,0)</f>
        <v/>
      </c>
      <c r="AD125" s="122">
        <f>IF(OR(I125=Dropdowns!$B$1,I125=Dropdowns!$B$2),1,0)</f>
        <v/>
      </c>
      <c r="AE125" s="122">
        <f>SUM(Y125:AD125)</f>
        <v/>
      </c>
      <c r="AF125" s="122" t="n"/>
      <c r="AG125" s="122">
        <f>IF(OR(J125=Dropdowns!$B$1,J125=Dropdowns!$B$2),1,0)</f>
        <v/>
      </c>
      <c r="AH125" s="122">
        <f>IF(OR(K125=Dropdowns!$B$1,K125=Dropdowns!$B$2),1,0)</f>
        <v/>
      </c>
      <c r="AI125" s="122">
        <f>IF(OR(L125=Dropdowns!$B$1,L125=Dropdowns!$B$2),1,0)</f>
        <v/>
      </c>
      <c r="AJ125" s="122">
        <f>IF(OR(M125=Dropdowns!$B$1,M125=Dropdowns!$B$2),1,0)</f>
        <v/>
      </c>
      <c r="AK125" s="122">
        <f>IF(OR(N125=Dropdowns!$B$1,N125=Dropdowns!$B$2),1,0)</f>
        <v/>
      </c>
      <c r="AL125" s="122">
        <f>IF(OR(O125=Dropdowns!$B$1,O125=Dropdowns!$B$2),1,0)</f>
        <v/>
      </c>
      <c r="AM125" s="122">
        <f>IF(OR(P125=Dropdowns!$B$1,P125=Dropdowns!$B$2),1,0)</f>
        <v/>
      </c>
      <c r="AN125" s="122">
        <f>IF(OR(Q125=Dropdowns!$B$1,Q125=Dropdowns!$B$2),1,0)</f>
        <v/>
      </c>
      <c r="AO125" s="122">
        <f>IF(OR(R125=Dropdowns!$B$1,R125=Dropdowns!$B$2),1,0)</f>
        <v/>
      </c>
      <c r="AP125" s="122">
        <f>IF(OR(S125=Dropdowns!$B$1,S125=Dropdowns!$B$2),1,0)</f>
        <v/>
      </c>
      <c r="AQ125" s="120">
        <f>SUM(AG125:AP125)</f>
        <v/>
      </c>
    </row>
    <row r="126" hidden="1" outlineLevel="1" ht="65.09999999999999" customHeight="1" s="59" thickBot="1" thickTop="1">
      <c r="B126" s="187" t="n"/>
      <c r="C126" s="48" t="inlineStr">
        <is>
          <t>Notes/comments on investor alignment:</t>
        </is>
      </c>
      <c r="D126" s="26" t="n"/>
      <c r="E126" s="26" t="n"/>
      <c r="F126" s="26" t="n"/>
      <c r="G126" s="26" t="n"/>
      <c r="H126" s="26" t="n"/>
      <c r="I126" s="26" t="n"/>
      <c r="J126" s="26" t="n"/>
      <c r="K126" s="26" t="n"/>
      <c r="L126" s="26" t="n"/>
      <c r="M126" s="26" t="n"/>
      <c r="N126" s="26" t="n"/>
      <c r="O126" s="26" t="n"/>
      <c r="P126" s="26" t="n"/>
      <c r="Q126" s="26" t="n"/>
      <c r="R126" s="26" t="n"/>
      <c r="S126" s="27" t="n"/>
      <c r="U126" s="188" t="n"/>
      <c r="V126" s="188" t="n"/>
      <c r="W126" s="188" t="n"/>
      <c r="Y126" s="122" t="n"/>
      <c r="Z126" s="122" t="n"/>
      <c r="AA126" s="122" t="n"/>
      <c r="AB126" s="122" t="n"/>
      <c r="AC126" s="122" t="n"/>
      <c r="AD126" s="122" t="n"/>
      <c r="AE126" s="122" t="n"/>
      <c r="AF126" s="122" t="n"/>
      <c r="AG126" s="122">
        <f>IF(AG$9=1,AG125,0)</f>
        <v/>
      </c>
      <c r="AH126" s="122">
        <f>IF(AH$9=1,AH125,0)</f>
        <v/>
      </c>
      <c r="AI126" s="122">
        <f>IF(AI$9=1,AI125,0)</f>
        <v/>
      </c>
      <c r="AJ126" s="122">
        <f>IF(AJ$9=1,AJ125,0)</f>
        <v/>
      </c>
      <c r="AK126" s="122">
        <f>IF(AK$9=1,AK125,0)</f>
        <v/>
      </c>
      <c r="AL126" s="122">
        <f>IF(AL$9=1,AL125,0)</f>
        <v/>
      </c>
      <c r="AM126" s="122">
        <f>IF(AM$9=1,AM125,0)</f>
        <v/>
      </c>
      <c r="AN126" s="122">
        <f>IF(AN$9=1,AN125,0)</f>
        <v/>
      </c>
      <c r="AO126" s="122">
        <f>IF(AO$9=1,AO125,0)</f>
        <v/>
      </c>
      <c r="AP126" s="122">
        <f>IF(AP$9=1,AP125,0)</f>
        <v/>
      </c>
      <c r="AQ126" s="120">
        <f>SUM(AG126:AP126)</f>
        <v/>
      </c>
    </row>
    <row r="127" hidden="1" outlineLevel="1" ht="6" customHeight="1" s="59" thickBot="1">
      <c r="C127" s="51" t="n"/>
      <c r="D127" s="95" t="n"/>
      <c r="E127" s="95" t="n"/>
      <c r="F127" s="95" t="n"/>
      <c r="G127" s="95" t="n"/>
      <c r="H127" s="95" t="n"/>
      <c r="I127" s="95" t="n"/>
      <c r="J127" s="95" t="n"/>
      <c r="K127" s="95" t="n"/>
      <c r="L127" s="95" t="n"/>
      <c r="M127" s="95" t="n"/>
      <c r="N127" s="95" t="n"/>
      <c r="O127" s="95" t="n"/>
      <c r="P127" s="95" t="n"/>
      <c r="Q127" s="95" t="n"/>
      <c r="R127" s="95" t="n"/>
      <c r="S127" s="95" t="n"/>
      <c r="U127" s="35" t="n"/>
      <c r="Y127" s="122" t="inlineStr">
        <is>
          <t>D</t>
        </is>
      </c>
      <c r="Z127" s="122" t="inlineStr">
        <is>
          <t>E</t>
        </is>
      </c>
      <c r="AA127" s="122" t="inlineStr">
        <is>
          <t>F</t>
        </is>
      </c>
      <c r="AB127" s="122" t="inlineStr">
        <is>
          <t>G</t>
        </is>
      </c>
      <c r="AC127" s="122" t="inlineStr">
        <is>
          <t>H</t>
        </is>
      </c>
      <c r="AD127" s="122" t="inlineStr">
        <is>
          <t>I</t>
        </is>
      </c>
      <c r="AE127" s="122" t="inlineStr">
        <is>
          <t>Total</t>
        </is>
      </c>
      <c r="AF127" s="122" t="n"/>
      <c r="AG127" s="122" t="inlineStr">
        <is>
          <t>Very or somewhat aligned</t>
        </is>
      </c>
      <c r="AH127" s="122" t="n"/>
      <c r="AI127" s="122" t="n"/>
      <c r="AJ127" s="122" t="n"/>
      <c r="AK127" s="122" t="n"/>
      <c r="AL127" s="122" t="n"/>
      <c r="AM127" s="122" t="n"/>
      <c r="AN127" s="122" t="n"/>
      <c r="AO127" s="122" t="n"/>
      <c r="AP127" s="122" t="n"/>
      <c r="AQ127" s="122" t="n"/>
    </row>
    <row r="128" hidden="1" outlineLevel="1" ht="24.9" customHeight="1" s="59" thickBot="1" thickTop="1">
      <c r="B128" s="189" t="n"/>
      <c r="C128" s="47" t="inlineStr">
        <is>
          <t>Alignment
(dropdown menu):</t>
        </is>
      </c>
      <c r="D128" s="24" t="n"/>
      <c r="E128" s="24" t="n"/>
      <c r="F128" s="24" t="n"/>
      <c r="G128" s="24" t="n"/>
      <c r="H128" s="24" t="n"/>
      <c r="I128" s="24" t="n"/>
      <c r="J128" s="24" t="n"/>
      <c r="K128" s="24" t="n"/>
      <c r="L128" s="24" t="n"/>
      <c r="M128" s="24" t="n"/>
      <c r="N128" s="24" t="n"/>
      <c r="O128" s="24" t="n"/>
      <c r="P128" s="24" t="n"/>
      <c r="Q128" s="24" t="n"/>
      <c r="R128" s="24" t="n"/>
      <c r="S128" s="25" t="n"/>
      <c r="U128" s="155">
        <f>IF(AE128=6,"Yes","No")</f>
        <v/>
      </c>
      <c r="V128" s="156">
        <f>CONCATENATE(AQ129,"/", AQ102)</f>
        <v/>
      </c>
      <c r="W128" s="156">
        <f>CONCATENATE(AQ128,"/", "10")</f>
        <v/>
      </c>
      <c r="Y128" s="122">
        <f>IF(OR(D128=Dropdowns!$B$1,D128=Dropdowns!$B$2),1,0)</f>
        <v/>
      </c>
      <c r="Z128" s="122">
        <f>IF(OR(E128=Dropdowns!$B$1,E128=Dropdowns!$B$2),1,0)</f>
        <v/>
      </c>
      <c r="AA128" s="122">
        <f>IF(OR(F128=Dropdowns!$B$1,F128=Dropdowns!$B$2),1,0)</f>
        <v/>
      </c>
      <c r="AB128" s="122">
        <f>IF(OR(G128=Dropdowns!$B$1,G128=Dropdowns!$B$2),1,0)</f>
        <v/>
      </c>
      <c r="AC128" s="122">
        <f>IF(OR(H128=Dropdowns!$B$1,H128=Dropdowns!$B$2),1,0)</f>
        <v/>
      </c>
      <c r="AD128" s="122">
        <f>IF(OR(I128=Dropdowns!$B$1,I128=Dropdowns!$B$2),1,0)</f>
        <v/>
      </c>
      <c r="AE128" s="122">
        <f>SUM(Y128:AD128)</f>
        <v/>
      </c>
      <c r="AF128" s="122" t="n"/>
      <c r="AG128" s="122">
        <f>IF(OR(J128=Dropdowns!$B$1,J128=Dropdowns!$B$2),1,0)</f>
        <v/>
      </c>
      <c r="AH128" s="122">
        <f>IF(OR(K128=Dropdowns!$B$1,K128=Dropdowns!$B$2),1,0)</f>
        <v/>
      </c>
      <c r="AI128" s="122">
        <f>IF(OR(L128=Dropdowns!$B$1,L128=Dropdowns!$B$2),1,0)</f>
        <v/>
      </c>
      <c r="AJ128" s="122">
        <f>IF(OR(M128=Dropdowns!$B$1,M128=Dropdowns!$B$2),1,0)</f>
        <v/>
      </c>
      <c r="AK128" s="122">
        <f>IF(OR(N128=Dropdowns!$B$1,N128=Dropdowns!$B$2),1,0)</f>
        <v/>
      </c>
      <c r="AL128" s="122">
        <f>IF(OR(O128=Dropdowns!$B$1,O128=Dropdowns!$B$2),1,0)</f>
        <v/>
      </c>
      <c r="AM128" s="122">
        <f>IF(OR(P128=Dropdowns!$B$1,P128=Dropdowns!$B$2),1,0)</f>
        <v/>
      </c>
      <c r="AN128" s="122">
        <f>IF(OR(Q128=Dropdowns!$B$1,Q128=Dropdowns!$B$2),1,0)</f>
        <v/>
      </c>
      <c r="AO128" s="122">
        <f>IF(OR(R128=Dropdowns!$B$1,R128=Dropdowns!$B$2),1,0)</f>
        <v/>
      </c>
      <c r="AP128" s="122">
        <f>IF(OR(S128=Dropdowns!$B$1,S128=Dropdowns!$B$2),1,0)</f>
        <v/>
      </c>
      <c r="AQ128" s="120">
        <f>SUM(AG128:AP128)</f>
        <v/>
      </c>
    </row>
    <row r="129" hidden="1" outlineLevel="1" ht="65.09999999999999" customHeight="1" s="59" thickBot="1" thickTop="1">
      <c r="B129" s="187" t="n"/>
      <c r="C129" s="48" t="inlineStr">
        <is>
          <t>Notes/comments on investor alignment:</t>
        </is>
      </c>
      <c r="D129" s="26" t="n"/>
      <c r="E129" s="26" t="n"/>
      <c r="F129" s="26" t="n"/>
      <c r="G129" s="26" t="n"/>
      <c r="H129" s="26" t="n"/>
      <c r="I129" s="26" t="n"/>
      <c r="J129" s="26" t="n"/>
      <c r="K129" s="26" t="n"/>
      <c r="L129" s="26" t="n"/>
      <c r="M129" s="26" t="n"/>
      <c r="N129" s="26" t="n"/>
      <c r="O129" s="26" t="n"/>
      <c r="P129" s="26" t="n"/>
      <c r="Q129" s="26" t="n"/>
      <c r="R129" s="26" t="n"/>
      <c r="S129" s="27" t="n"/>
      <c r="U129" s="188" t="n"/>
      <c r="V129" s="188" t="n"/>
      <c r="W129" s="188" t="n"/>
      <c r="Y129" s="122" t="n"/>
      <c r="Z129" s="122" t="n"/>
      <c r="AA129" s="122" t="n"/>
      <c r="AB129" s="122" t="n"/>
      <c r="AC129" s="122" t="n"/>
      <c r="AD129" s="122" t="n"/>
      <c r="AE129" s="122" t="n"/>
      <c r="AF129" s="122" t="n"/>
      <c r="AG129" s="122">
        <f>IF(AG$9=1,AG128,0)</f>
        <v/>
      </c>
      <c r="AH129" s="122">
        <f>IF(AH$9=1,AH128,0)</f>
        <v/>
      </c>
      <c r="AI129" s="122">
        <f>IF(AI$9=1,AI128,0)</f>
        <v/>
      </c>
      <c r="AJ129" s="122">
        <f>IF(AJ$9=1,AJ128,0)</f>
        <v/>
      </c>
      <c r="AK129" s="122">
        <f>IF(AK$9=1,AK128,0)</f>
        <v/>
      </c>
      <c r="AL129" s="122">
        <f>IF(AL$9=1,AL128,0)</f>
        <v/>
      </c>
      <c r="AM129" s="122">
        <f>IF(AM$9=1,AM128,0)</f>
        <v/>
      </c>
      <c r="AN129" s="122">
        <f>IF(AN$9=1,AN128,0)</f>
        <v/>
      </c>
      <c r="AO129" s="122">
        <f>IF(AO$9=1,AO128,0)</f>
        <v/>
      </c>
      <c r="AP129" s="122">
        <f>IF(AP$9=1,AP128,0)</f>
        <v/>
      </c>
      <c r="AQ129" s="120">
        <f>SUM(AG129:AP129)</f>
        <v/>
      </c>
    </row>
    <row r="130" collapsed="1" ht="30" customHeight="1" s="59">
      <c r="D130" s="96" t="n"/>
      <c r="E130" s="96" t="n"/>
      <c r="F130" s="96" t="n"/>
      <c r="G130" s="96" t="n"/>
      <c r="H130" s="96" t="n"/>
      <c r="I130" s="96" t="n"/>
      <c r="J130" s="96" t="n"/>
      <c r="K130" s="96" t="n"/>
      <c r="L130" s="96" t="n"/>
      <c r="M130" s="96" t="n"/>
      <c r="N130" s="96" t="n"/>
      <c r="O130" s="96" t="n"/>
      <c r="P130" s="96" t="n"/>
      <c r="Q130" s="96" t="n"/>
      <c r="R130" s="96" t="n"/>
      <c r="S130" s="96" t="n"/>
      <c r="U130" s="35" t="n"/>
      <c r="Y130" s="122" t="n"/>
      <c r="Z130" s="122" t="n"/>
      <c r="AA130" s="122" t="n"/>
      <c r="AB130" s="122" t="n"/>
      <c r="AC130" s="122" t="n"/>
      <c r="AD130" s="122" t="n"/>
      <c r="AE130" s="122" t="n"/>
      <c r="AF130" s="122" t="n"/>
      <c r="AG130" s="122" t="n"/>
      <c r="AH130" s="122" t="n"/>
      <c r="AI130" s="122" t="n"/>
      <c r="AJ130" s="122" t="n"/>
      <c r="AK130" s="122" t="n"/>
      <c r="AL130" s="122" t="n"/>
      <c r="AM130" s="122" t="n"/>
      <c r="AN130" s="122" t="n"/>
      <c r="AO130" s="122" t="n"/>
      <c r="AP130" s="122" t="n"/>
      <c r="AQ130" s="122" t="n"/>
    </row>
    <row r="131" hidden="1" outlineLevel="1" ht="24.9" customHeight="1" s="59" thickBot="1" thickTop="1">
      <c r="A131" s="10" t="n"/>
      <c r="B131" s="189" t="n"/>
      <c r="C131" s="47" t="inlineStr">
        <is>
          <t>Alignment
(dropdown menu):</t>
        </is>
      </c>
      <c r="D131" s="24" t="n"/>
      <c r="E131" s="24" t="n"/>
      <c r="F131" s="24" t="n"/>
      <c r="G131" s="24" t="n"/>
      <c r="H131" s="24" t="n"/>
      <c r="I131" s="24" t="n"/>
      <c r="J131" s="24" t="n"/>
      <c r="K131" s="24" t="n"/>
      <c r="L131" s="24" t="n"/>
      <c r="M131" s="24" t="n"/>
      <c r="N131" s="24" t="n"/>
      <c r="O131" s="24" t="n"/>
      <c r="P131" s="24" t="n"/>
      <c r="Q131" s="24" t="n"/>
      <c r="R131" s="24" t="n"/>
      <c r="S131" s="25" t="n"/>
      <c r="U131" s="155">
        <f>IF(AE131=6,"Yes","No")</f>
        <v/>
      </c>
      <c r="V131" s="156">
        <f>CONCATENATE(AQ132,"/", AQ129)</f>
        <v/>
      </c>
      <c r="W131" s="156">
        <f>CONCATENATE(AQ131,"/", "10")</f>
        <v/>
      </c>
      <c r="Y131" s="122">
        <f>IF(OR(D131=Dropdowns!$B$1,D131=Dropdowns!$B$2),1,0)</f>
        <v/>
      </c>
      <c r="Z131" s="122">
        <f>IF(OR(E131=Dropdowns!$B$1,E131=Dropdowns!$B$2),1,0)</f>
        <v/>
      </c>
      <c r="AA131" s="122">
        <f>IF(OR(F131=Dropdowns!$B$1,F131=Dropdowns!$B$2),1,0)</f>
        <v/>
      </c>
      <c r="AB131" s="122">
        <f>IF(OR(G131=Dropdowns!$B$1,G131=Dropdowns!$B$2),1,0)</f>
        <v/>
      </c>
      <c r="AC131" s="122">
        <f>IF(OR(H131=Dropdowns!$B$1,H131=Dropdowns!$B$2),1,0)</f>
        <v/>
      </c>
      <c r="AD131" s="122">
        <f>IF(OR(I131=Dropdowns!$B$1,I131=Dropdowns!$B$2),1,0)</f>
        <v/>
      </c>
      <c r="AE131" s="122">
        <f>SUM(Y131:AD131)</f>
        <v/>
      </c>
      <c r="AF131" s="122" t="n"/>
      <c r="AG131" s="122">
        <f>IF(OR(J131=Dropdowns!$B$1,J131=Dropdowns!$B$2),1,0)</f>
        <v/>
      </c>
      <c r="AH131" s="122">
        <f>IF(OR(K131=Dropdowns!$B$1,K131=Dropdowns!$B$2),1,0)</f>
        <v/>
      </c>
      <c r="AI131" s="122">
        <f>IF(OR(L131=Dropdowns!$B$1,L131=Dropdowns!$B$2),1,0)</f>
        <v/>
      </c>
      <c r="AJ131" s="122">
        <f>IF(OR(M131=Dropdowns!$B$1,M131=Dropdowns!$B$2),1,0)</f>
        <v/>
      </c>
      <c r="AK131" s="122">
        <f>IF(OR(N131=Dropdowns!$B$1,N131=Dropdowns!$B$2),1,0)</f>
        <v/>
      </c>
      <c r="AL131" s="122">
        <f>IF(OR(O131=Dropdowns!$B$1,O131=Dropdowns!$B$2),1,0)</f>
        <v/>
      </c>
      <c r="AM131" s="122">
        <f>IF(OR(P131=Dropdowns!$B$1,P131=Dropdowns!$B$2),1,0)</f>
        <v/>
      </c>
      <c r="AN131" s="122">
        <f>IF(OR(Q131=Dropdowns!$B$1,Q131=Dropdowns!$B$2),1,0)</f>
        <v/>
      </c>
      <c r="AO131" s="122">
        <f>IF(OR(R131=Dropdowns!$B$1,R131=Dropdowns!$B$2),1,0)</f>
        <v/>
      </c>
      <c r="AP131" s="122">
        <f>IF(OR(S131=Dropdowns!$B$1,S131=Dropdowns!$B$2),1,0)</f>
        <v/>
      </c>
      <c r="AQ131" s="120">
        <f>SUM(AG131:AP131)</f>
        <v/>
      </c>
    </row>
    <row r="132" hidden="1" outlineLevel="1" ht="65.09999999999999" customHeight="1" s="59" thickBot="1" thickTop="1">
      <c r="A132" s="4" t="n"/>
      <c r="B132" s="187" t="n"/>
      <c r="C132" s="48" t="inlineStr">
        <is>
          <t>Notes/comments on investor alignment:</t>
        </is>
      </c>
      <c r="D132" s="26" t="n"/>
      <c r="E132" s="26" t="n"/>
      <c r="F132" s="26" t="n"/>
      <c r="G132" s="26" t="n"/>
      <c r="H132" s="26" t="n"/>
      <c r="I132" s="26" t="n"/>
      <c r="J132" s="26" t="n"/>
      <c r="K132" s="26" t="n"/>
      <c r="L132" s="26" t="n"/>
      <c r="M132" s="26" t="n"/>
      <c r="N132" s="26" t="n"/>
      <c r="O132" s="26" t="n"/>
      <c r="P132" s="26" t="n"/>
      <c r="Q132" s="26" t="n"/>
      <c r="R132" s="26" t="n"/>
      <c r="S132" s="27" t="n"/>
      <c r="U132" s="188" t="n"/>
      <c r="V132" s="188" t="n"/>
      <c r="W132" s="188" t="n"/>
      <c r="Y132" s="122" t="n"/>
      <c r="Z132" s="122" t="n"/>
      <c r="AA132" s="122" t="n"/>
      <c r="AB132" s="122" t="n"/>
      <c r="AC132" s="122" t="n"/>
      <c r="AD132" s="122" t="n"/>
      <c r="AE132" s="122" t="n"/>
      <c r="AF132" s="122" t="n"/>
      <c r="AG132" s="122">
        <f>IF(AG$9=1,AG131,0)</f>
        <v/>
      </c>
      <c r="AH132" s="122">
        <f>IF(AH$9=1,AH131,0)</f>
        <v/>
      </c>
      <c r="AI132" s="122">
        <f>IF(AI$9=1,AI131,0)</f>
        <v/>
      </c>
      <c r="AJ132" s="122">
        <f>IF(AJ$9=1,AJ131,0)</f>
        <v/>
      </c>
      <c r="AK132" s="122">
        <f>IF(AK$9=1,AK131,0)</f>
        <v/>
      </c>
      <c r="AL132" s="122">
        <f>IF(AL$9=1,AL131,0)</f>
        <v/>
      </c>
      <c r="AM132" s="122">
        <f>IF(AM$9=1,AM131,0)</f>
        <v/>
      </c>
      <c r="AN132" s="122">
        <f>IF(AN$9=1,AN131,0)</f>
        <v/>
      </c>
      <c r="AO132" s="122">
        <f>IF(AO$9=1,AO131,0)</f>
        <v/>
      </c>
      <c r="AP132" s="122">
        <f>IF(AP$9=1,AP131,0)</f>
        <v/>
      </c>
      <c r="AQ132" s="120">
        <f>SUM(AG132:AP132)</f>
        <v/>
      </c>
    </row>
    <row r="133" hidden="1" outlineLevel="1" ht="6" customFormat="1" customHeight="1" s="17" thickBot="1">
      <c r="A133" s="17" t="n"/>
      <c r="B133" s="54" t="n"/>
      <c r="C133" s="49" t="n"/>
      <c r="D133" s="95" t="n"/>
      <c r="E133" s="95" t="n"/>
      <c r="F133" s="95" t="n"/>
      <c r="G133" s="95" t="n"/>
      <c r="H133" s="95" t="n"/>
      <c r="I133" s="95" t="n"/>
      <c r="J133" s="95" t="n"/>
      <c r="K133" s="95" t="n"/>
      <c r="L133" s="95" t="n"/>
      <c r="M133" s="95" t="n"/>
      <c r="N133" s="95" t="n"/>
      <c r="O133" s="95" t="n"/>
      <c r="P133" s="95" t="n"/>
      <c r="Q133" s="95" t="n"/>
      <c r="R133" s="95" t="n"/>
      <c r="S133" s="95" t="n"/>
      <c r="T133" s="16" t="n"/>
      <c r="U133" s="34" t="n"/>
      <c r="Y133" s="122" t="inlineStr">
        <is>
          <t>D</t>
        </is>
      </c>
      <c r="Z133" s="122" t="inlineStr">
        <is>
          <t>E</t>
        </is>
      </c>
      <c r="AA133" s="122" t="inlineStr">
        <is>
          <t>F</t>
        </is>
      </c>
      <c r="AB133" s="122" t="inlineStr">
        <is>
          <t>G</t>
        </is>
      </c>
      <c r="AC133" s="122" t="inlineStr">
        <is>
          <t>H</t>
        </is>
      </c>
      <c r="AD133" s="122" t="inlineStr">
        <is>
          <t>I</t>
        </is>
      </c>
      <c r="AE133" s="122" t="inlineStr">
        <is>
          <t>Total</t>
        </is>
      </c>
      <c r="AF133" s="122" t="n"/>
      <c r="AG133" s="122" t="inlineStr">
        <is>
          <t>Very or somewhat aligned</t>
        </is>
      </c>
      <c r="AH133" s="122" t="n"/>
      <c r="AI133" s="122" t="n"/>
      <c r="AJ133" s="122" t="n"/>
      <c r="AK133" s="122" t="n"/>
      <c r="AL133" s="122" t="n"/>
      <c r="AM133" s="122" t="n"/>
      <c r="AN133" s="122" t="n"/>
      <c r="AO133" s="122" t="n"/>
      <c r="AP133" s="122" t="n"/>
      <c r="AQ133" s="122" t="n"/>
      <c r="AR133" s="64" t="n"/>
    </row>
    <row r="134" hidden="1" outlineLevel="1" ht="24.9" customHeight="1" s="59" thickBot="1" thickTop="1">
      <c r="B134" s="189" t="n"/>
      <c r="C134" s="47" t="inlineStr">
        <is>
          <t>Alignment
(dropdown menu):</t>
        </is>
      </c>
      <c r="D134" s="24" t="n"/>
      <c r="E134" s="24" t="n"/>
      <c r="F134" s="24" t="n"/>
      <c r="G134" s="24" t="n"/>
      <c r="H134" s="24" t="n"/>
      <c r="I134" s="24" t="n"/>
      <c r="J134" s="24" t="n"/>
      <c r="K134" s="24" t="n"/>
      <c r="L134" s="24" t="n"/>
      <c r="M134" s="24" t="n"/>
      <c r="N134" s="24" t="n"/>
      <c r="O134" s="24" t="n"/>
      <c r="P134" s="24" t="n"/>
      <c r="Q134" s="24" t="n"/>
      <c r="R134" s="24" t="n"/>
      <c r="S134" s="25" t="n"/>
      <c r="U134" s="155">
        <f>IF(AE134=6,"Yes","No")</f>
        <v/>
      </c>
      <c r="V134" s="156">
        <f>CONCATENATE(AQ135,"/", AQ129)</f>
        <v/>
      </c>
      <c r="W134" s="156">
        <f>CONCATENATE(AQ134,"/", "10")</f>
        <v/>
      </c>
      <c r="Y134" s="122">
        <f>IF(OR(D134=Dropdowns!$B$1,D134=Dropdowns!$B$2),1,0)</f>
        <v/>
      </c>
      <c r="Z134" s="122">
        <f>IF(OR(E134=Dropdowns!$B$1,E134=Dropdowns!$B$2),1,0)</f>
        <v/>
      </c>
      <c r="AA134" s="122">
        <f>IF(OR(F134=Dropdowns!$B$1,F134=Dropdowns!$B$2),1,0)</f>
        <v/>
      </c>
      <c r="AB134" s="122">
        <f>IF(OR(G134=Dropdowns!$B$1,G134=Dropdowns!$B$2),1,0)</f>
        <v/>
      </c>
      <c r="AC134" s="122">
        <f>IF(OR(H134=Dropdowns!$B$1,H134=Dropdowns!$B$2),1,0)</f>
        <v/>
      </c>
      <c r="AD134" s="122">
        <f>IF(OR(I134=Dropdowns!$B$1,I134=Dropdowns!$B$2),1,0)</f>
        <v/>
      </c>
      <c r="AE134" s="122">
        <f>SUM(Y134:AD134)</f>
        <v/>
      </c>
      <c r="AF134" s="122" t="n"/>
      <c r="AG134" s="122">
        <f>IF(OR(J134=Dropdowns!$B$1,J134=Dropdowns!$B$2),1,0)</f>
        <v/>
      </c>
      <c r="AH134" s="122">
        <f>IF(OR(K134=Dropdowns!$B$1,K134=Dropdowns!$B$2),1,0)</f>
        <v/>
      </c>
      <c r="AI134" s="122">
        <f>IF(OR(L134=Dropdowns!$B$1,L134=Dropdowns!$B$2),1,0)</f>
        <v/>
      </c>
      <c r="AJ134" s="122">
        <f>IF(OR(M134=Dropdowns!$B$1,M134=Dropdowns!$B$2),1,0)</f>
        <v/>
      </c>
      <c r="AK134" s="122">
        <f>IF(OR(N134=Dropdowns!$B$1,N134=Dropdowns!$B$2),1,0)</f>
        <v/>
      </c>
      <c r="AL134" s="122">
        <f>IF(OR(O134=Dropdowns!$B$1,O134=Dropdowns!$B$2),1,0)</f>
        <v/>
      </c>
      <c r="AM134" s="122">
        <f>IF(OR(P134=Dropdowns!$B$1,P134=Dropdowns!$B$2),1,0)</f>
        <v/>
      </c>
      <c r="AN134" s="122">
        <f>IF(OR(Q134=Dropdowns!$B$1,Q134=Dropdowns!$B$2),1,0)</f>
        <v/>
      </c>
      <c r="AO134" s="122">
        <f>IF(OR(R134=Dropdowns!$B$1,R134=Dropdowns!$B$2),1,0)</f>
        <v/>
      </c>
      <c r="AP134" s="122">
        <f>IF(OR(S134=Dropdowns!$B$1,S134=Dropdowns!$B$2),1,0)</f>
        <v/>
      </c>
      <c r="AQ134" s="120">
        <f>SUM(AG134:AP134)</f>
        <v/>
      </c>
    </row>
    <row r="135" hidden="1" outlineLevel="1" ht="65.09999999999999" customHeight="1" s="59" thickBot="1" thickTop="1">
      <c r="B135" s="187" t="n"/>
      <c r="C135" s="48" t="inlineStr">
        <is>
          <t>Notes/comments on investor alignment:</t>
        </is>
      </c>
      <c r="D135" s="26" t="n"/>
      <c r="E135" s="26" t="n"/>
      <c r="F135" s="26" t="n"/>
      <c r="G135" s="26" t="n"/>
      <c r="H135" s="26" t="n"/>
      <c r="I135" s="26" t="n"/>
      <c r="J135" s="26" t="n"/>
      <c r="K135" s="26" t="n"/>
      <c r="L135" s="26" t="n"/>
      <c r="M135" s="26" t="n"/>
      <c r="N135" s="26" t="n"/>
      <c r="O135" s="26" t="n"/>
      <c r="P135" s="26" t="n"/>
      <c r="Q135" s="26" t="n"/>
      <c r="R135" s="26" t="n"/>
      <c r="S135" s="27" t="n"/>
      <c r="U135" s="188" t="n"/>
      <c r="V135" s="188" t="n"/>
      <c r="W135" s="188" t="n"/>
      <c r="Y135" s="122" t="n"/>
      <c r="Z135" s="122" t="n"/>
      <c r="AA135" s="122" t="n"/>
      <c r="AB135" s="122" t="n"/>
      <c r="AC135" s="122" t="n"/>
      <c r="AD135" s="122" t="n"/>
      <c r="AE135" s="122" t="n"/>
      <c r="AF135" s="122" t="n"/>
      <c r="AG135" s="122">
        <f>IF(AG$9=1,AG134,0)</f>
        <v/>
      </c>
      <c r="AH135" s="122">
        <f>IF(AH$9=1,AH134,0)</f>
        <v/>
      </c>
      <c r="AI135" s="122">
        <f>IF(AI$9=1,AI134,0)</f>
        <v/>
      </c>
      <c r="AJ135" s="122">
        <f>IF(AJ$9=1,AJ134,0)</f>
        <v/>
      </c>
      <c r="AK135" s="122">
        <f>IF(AK$9=1,AK134,0)</f>
        <v/>
      </c>
      <c r="AL135" s="122">
        <f>IF(AL$9=1,AL134,0)</f>
        <v/>
      </c>
      <c r="AM135" s="122">
        <f>IF(AM$9=1,AM134,0)</f>
        <v/>
      </c>
      <c r="AN135" s="122">
        <f>IF(AN$9=1,AN134,0)</f>
        <v/>
      </c>
      <c r="AO135" s="122">
        <f>IF(AO$9=1,AO134,0)</f>
        <v/>
      </c>
      <c r="AP135" s="122">
        <f>IF(AP$9=1,AP134,0)</f>
        <v/>
      </c>
      <c r="AQ135" s="120">
        <f>SUM(AG135:AP135)</f>
        <v/>
      </c>
    </row>
    <row r="136" hidden="1" outlineLevel="1" ht="6" customHeight="1" s="59" thickBot="1">
      <c r="A136" s="4" t="n"/>
      <c r="B136" s="55" t="n"/>
      <c r="C136" s="50" t="n"/>
      <c r="D136" s="96" t="n"/>
      <c r="E136" s="96" t="n"/>
      <c r="F136" s="96" t="n"/>
      <c r="G136" s="96" t="n"/>
      <c r="H136" s="96" t="n"/>
      <c r="I136" s="96" t="n"/>
      <c r="J136" s="96" t="n"/>
      <c r="K136" s="96" t="n"/>
      <c r="L136" s="96" t="n"/>
      <c r="M136" s="96" t="n"/>
      <c r="N136" s="96" t="n"/>
      <c r="O136" s="96" t="n"/>
      <c r="P136" s="96" t="n"/>
      <c r="Q136" s="96" t="n"/>
      <c r="R136" s="96" t="n"/>
      <c r="S136" s="96" t="n"/>
      <c r="U136" s="35" t="n"/>
      <c r="Y136" s="122" t="inlineStr">
        <is>
          <t>D</t>
        </is>
      </c>
      <c r="Z136" s="122" t="inlineStr">
        <is>
          <t>E</t>
        </is>
      </c>
      <c r="AA136" s="122" t="inlineStr">
        <is>
          <t>F</t>
        </is>
      </c>
      <c r="AB136" s="122" t="inlineStr">
        <is>
          <t>G</t>
        </is>
      </c>
      <c r="AC136" s="122" t="inlineStr">
        <is>
          <t>H</t>
        </is>
      </c>
      <c r="AD136" s="122" t="inlineStr">
        <is>
          <t>I</t>
        </is>
      </c>
      <c r="AE136" s="122" t="inlineStr">
        <is>
          <t>Total</t>
        </is>
      </c>
      <c r="AF136" s="122" t="n"/>
      <c r="AG136" s="122" t="inlineStr">
        <is>
          <t>Very or somewhat aligned</t>
        </is>
      </c>
      <c r="AH136" s="122" t="n"/>
      <c r="AI136" s="122" t="n"/>
      <c r="AJ136" s="122" t="n"/>
      <c r="AK136" s="122" t="n"/>
      <c r="AL136" s="122" t="n"/>
      <c r="AM136" s="122" t="n"/>
      <c r="AN136" s="122" t="n"/>
      <c r="AO136" s="122" t="n"/>
      <c r="AP136" s="122" t="n"/>
      <c r="AQ136" s="122" t="n"/>
    </row>
    <row r="137" hidden="1" outlineLevel="1" ht="24.9" customHeight="1" s="59" thickBot="1" thickTop="1">
      <c r="B137" s="189" t="n"/>
      <c r="C137" s="47" t="inlineStr">
        <is>
          <t>Alignment
(dropdown menu):</t>
        </is>
      </c>
      <c r="D137" s="24" t="n"/>
      <c r="E137" s="24" t="n"/>
      <c r="F137" s="24" t="n"/>
      <c r="G137" s="24" t="n"/>
      <c r="H137" s="24" t="n"/>
      <c r="I137" s="24" t="n"/>
      <c r="J137" s="24" t="n"/>
      <c r="K137" s="24" t="n"/>
      <c r="L137" s="24" t="n"/>
      <c r="M137" s="24" t="n"/>
      <c r="N137" s="24" t="n"/>
      <c r="O137" s="24" t="n"/>
      <c r="P137" s="24" t="n"/>
      <c r="Q137" s="24" t="n"/>
      <c r="R137" s="24" t="n"/>
      <c r="S137" s="25" t="n"/>
      <c r="U137" s="155">
        <f>IF(AE137=6,"Yes","No")</f>
        <v/>
      </c>
      <c r="V137" s="156">
        <f>CONCATENATE(AQ138,"/", AQ129)</f>
        <v/>
      </c>
      <c r="W137" s="156">
        <f>CONCATENATE(AQ137,"/", "10")</f>
        <v/>
      </c>
      <c r="Y137" s="122">
        <f>IF(OR(D137=Dropdowns!$B$1,D137=Dropdowns!$B$2),1,0)</f>
        <v/>
      </c>
      <c r="Z137" s="122">
        <f>IF(OR(E137=Dropdowns!$B$1,E137=Dropdowns!$B$2),1,0)</f>
        <v/>
      </c>
      <c r="AA137" s="122">
        <f>IF(OR(F137=Dropdowns!$B$1,F137=Dropdowns!$B$2),1,0)</f>
        <v/>
      </c>
      <c r="AB137" s="122">
        <f>IF(OR(G137=Dropdowns!$B$1,G137=Dropdowns!$B$2),1,0)</f>
        <v/>
      </c>
      <c r="AC137" s="122">
        <f>IF(OR(H137=Dropdowns!$B$1,H137=Dropdowns!$B$2),1,0)</f>
        <v/>
      </c>
      <c r="AD137" s="122">
        <f>IF(OR(I137=Dropdowns!$B$1,I137=Dropdowns!$B$2),1,0)</f>
        <v/>
      </c>
      <c r="AE137" s="122">
        <f>SUM(Y137:AD137)</f>
        <v/>
      </c>
      <c r="AF137" s="122" t="n"/>
      <c r="AG137" s="122">
        <f>IF(OR(J137=Dropdowns!$B$1,J137=Dropdowns!$B$2),1,0)</f>
        <v/>
      </c>
      <c r="AH137" s="122">
        <f>IF(OR(K137=Dropdowns!$B$1,K137=Dropdowns!$B$2),1,0)</f>
        <v/>
      </c>
      <c r="AI137" s="122">
        <f>IF(OR(L137=Dropdowns!$B$1,L137=Dropdowns!$B$2),1,0)</f>
        <v/>
      </c>
      <c r="AJ137" s="122">
        <f>IF(OR(M137=Dropdowns!$B$1,M137=Dropdowns!$B$2),1,0)</f>
        <v/>
      </c>
      <c r="AK137" s="122">
        <f>IF(OR(N137=Dropdowns!$B$1,N137=Dropdowns!$B$2),1,0)</f>
        <v/>
      </c>
      <c r="AL137" s="122">
        <f>IF(OR(O137=Dropdowns!$B$1,O137=Dropdowns!$B$2),1,0)</f>
        <v/>
      </c>
      <c r="AM137" s="122">
        <f>IF(OR(P137=Dropdowns!$B$1,P137=Dropdowns!$B$2),1,0)</f>
        <v/>
      </c>
      <c r="AN137" s="122">
        <f>IF(OR(Q137=Dropdowns!$B$1,Q137=Dropdowns!$B$2),1,0)</f>
        <v/>
      </c>
      <c r="AO137" s="122">
        <f>IF(OR(R137=Dropdowns!$B$1,R137=Dropdowns!$B$2),1,0)</f>
        <v/>
      </c>
      <c r="AP137" s="122">
        <f>IF(OR(S137=Dropdowns!$B$1,S137=Dropdowns!$B$2),1,0)</f>
        <v/>
      </c>
      <c r="AQ137" s="120">
        <f>SUM(AG137:AP137)</f>
        <v/>
      </c>
    </row>
    <row r="138" hidden="1" outlineLevel="1" ht="65.09999999999999" customHeight="1" s="59" thickBot="1" thickTop="1">
      <c r="B138" s="187" t="n"/>
      <c r="C138" s="48" t="inlineStr">
        <is>
          <t>Notes/comments on investor alignment:</t>
        </is>
      </c>
      <c r="D138" s="26" t="n"/>
      <c r="E138" s="26" t="n"/>
      <c r="F138" s="26" t="n"/>
      <c r="G138" s="26" t="n"/>
      <c r="H138" s="26" t="n"/>
      <c r="I138" s="26" t="n"/>
      <c r="J138" s="26" t="n"/>
      <c r="K138" s="26" t="n"/>
      <c r="L138" s="26" t="n"/>
      <c r="M138" s="26" t="n"/>
      <c r="N138" s="26" t="n"/>
      <c r="O138" s="26" t="n"/>
      <c r="P138" s="26" t="n"/>
      <c r="Q138" s="26" t="n"/>
      <c r="R138" s="26" t="n"/>
      <c r="S138" s="27" t="n"/>
      <c r="U138" s="188" t="n"/>
      <c r="V138" s="188" t="n"/>
      <c r="W138" s="188" t="n"/>
      <c r="Y138" s="122" t="n"/>
      <c r="Z138" s="122" t="n"/>
      <c r="AA138" s="122" t="n"/>
      <c r="AB138" s="122" t="n"/>
      <c r="AC138" s="122" t="n"/>
      <c r="AD138" s="122" t="n"/>
      <c r="AE138" s="122" t="n"/>
      <c r="AF138" s="122" t="n"/>
      <c r="AG138" s="122">
        <f>IF(AG$9=1,AG137,0)</f>
        <v/>
      </c>
      <c r="AH138" s="122">
        <f>IF(AH$9=1,AH137,0)</f>
        <v/>
      </c>
      <c r="AI138" s="122">
        <f>IF(AI$9=1,AI137,0)</f>
        <v/>
      </c>
      <c r="AJ138" s="122">
        <f>IF(AJ$9=1,AJ137,0)</f>
        <v/>
      </c>
      <c r="AK138" s="122">
        <f>IF(AK$9=1,AK137,0)</f>
        <v/>
      </c>
      <c r="AL138" s="122">
        <f>IF(AL$9=1,AL137,0)</f>
        <v/>
      </c>
      <c r="AM138" s="122">
        <f>IF(AM$9=1,AM137,0)</f>
        <v/>
      </c>
      <c r="AN138" s="122">
        <f>IF(AN$9=1,AN137,0)</f>
        <v/>
      </c>
      <c r="AO138" s="122">
        <f>IF(AO$9=1,AO137,0)</f>
        <v/>
      </c>
      <c r="AP138" s="122">
        <f>IF(AP$9=1,AP137,0)</f>
        <v/>
      </c>
      <c r="AQ138" s="120">
        <f>SUM(AG138:AP138)</f>
        <v/>
      </c>
    </row>
    <row r="139" hidden="1" outlineLevel="1" ht="6" customHeight="1" s="59" thickBot="1">
      <c r="A139" s="4" t="n"/>
      <c r="B139" s="55" t="n"/>
      <c r="C139" s="50" t="n"/>
      <c r="D139" s="95" t="n"/>
      <c r="E139" s="95" t="n"/>
      <c r="F139" s="95" t="n"/>
      <c r="G139" s="95" t="n"/>
      <c r="H139" s="95" t="n"/>
      <c r="I139" s="95" t="n"/>
      <c r="J139" s="95" t="n"/>
      <c r="K139" s="95" t="n"/>
      <c r="L139" s="95" t="n"/>
      <c r="M139" s="95" t="n"/>
      <c r="N139" s="95" t="n"/>
      <c r="O139" s="95" t="n"/>
      <c r="P139" s="95" t="n"/>
      <c r="Q139" s="95" t="n"/>
      <c r="R139" s="95" t="n"/>
      <c r="S139" s="95" t="n"/>
      <c r="U139" s="35" t="n"/>
      <c r="Y139" s="122" t="inlineStr">
        <is>
          <t>D</t>
        </is>
      </c>
      <c r="Z139" s="122" t="inlineStr">
        <is>
          <t>E</t>
        </is>
      </c>
      <c r="AA139" s="122" t="inlineStr">
        <is>
          <t>F</t>
        </is>
      </c>
      <c r="AB139" s="122" t="inlineStr">
        <is>
          <t>G</t>
        </is>
      </c>
      <c r="AC139" s="122" t="inlineStr">
        <is>
          <t>H</t>
        </is>
      </c>
      <c r="AD139" s="122" t="inlineStr">
        <is>
          <t>I</t>
        </is>
      </c>
      <c r="AE139" s="122" t="inlineStr">
        <is>
          <t>Total</t>
        </is>
      </c>
      <c r="AF139" s="122" t="n"/>
      <c r="AG139" s="122" t="inlineStr">
        <is>
          <t>Very or somewhat aligned</t>
        </is>
      </c>
      <c r="AH139" s="122" t="n"/>
      <c r="AI139" s="122" t="n"/>
      <c r="AJ139" s="122" t="n"/>
      <c r="AK139" s="122" t="n"/>
      <c r="AL139" s="122" t="n"/>
      <c r="AM139" s="122" t="n"/>
      <c r="AN139" s="122" t="n"/>
      <c r="AO139" s="122" t="n"/>
      <c r="AP139" s="122" t="n"/>
      <c r="AQ139" s="122" t="n"/>
    </row>
    <row r="140" hidden="1" outlineLevel="1" ht="24.9" customHeight="1" s="59" thickBot="1" thickTop="1">
      <c r="B140" s="189" t="n"/>
      <c r="C140" s="47" t="inlineStr">
        <is>
          <t>Alignment
(dropdown menu):</t>
        </is>
      </c>
      <c r="D140" s="24" t="n"/>
      <c r="E140" s="24" t="n"/>
      <c r="F140" s="24" t="n"/>
      <c r="G140" s="24" t="n"/>
      <c r="H140" s="24" t="n"/>
      <c r="I140" s="24" t="n"/>
      <c r="J140" s="24" t="n"/>
      <c r="K140" s="24" t="n"/>
      <c r="L140" s="24" t="n"/>
      <c r="M140" s="24" t="n"/>
      <c r="N140" s="24" t="n"/>
      <c r="O140" s="24" t="n"/>
      <c r="P140" s="24" t="n"/>
      <c r="Q140" s="24" t="n"/>
      <c r="R140" s="24" t="n"/>
      <c r="S140" s="25" t="n"/>
      <c r="U140" s="155">
        <f>IF(AE140=6,"Yes","No")</f>
        <v/>
      </c>
      <c r="V140" s="156">
        <f>CONCATENATE(AQ141,"/", AQ129)</f>
        <v/>
      </c>
      <c r="W140" s="156">
        <f>CONCATENATE(AQ140,"/", "10")</f>
        <v/>
      </c>
      <c r="Y140" s="122">
        <f>IF(OR(D140=Dropdowns!$B$1,D140=Dropdowns!$B$2),1,0)</f>
        <v/>
      </c>
      <c r="Z140" s="122">
        <f>IF(OR(E140=Dropdowns!$B$1,E140=Dropdowns!$B$2),1,0)</f>
        <v/>
      </c>
      <c r="AA140" s="122">
        <f>IF(OR(F140=Dropdowns!$B$1,F140=Dropdowns!$B$2),1,0)</f>
        <v/>
      </c>
      <c r="AB140" s="122">
        <f>IF(OR(G140=Dropdowns!$B$1,G140=Dropdowns!$B$2),1,0)</f>
        <v/>
      </c>
      <c r="AC140" s="122">
        <f>IF(OR(H140=Dropdowns!$B$1,H140=Dropdowns!$B$2),1,0)</f>
        <v/>
      </c>
      <c r="AD140" s="122">
        <f>IF(OR(I140=Dropdowns!$B$1,I140=Dropdowns!$B$2),1,0)</f>
        <v/>
      </c>
      <c r="AE140" s="122">
        <f>SUM(Y140:AD140)</f>
        <v/>
      </c>
      <c r="AF140" s="122" t="n"/>
      <c r="AG140" s="122">
        <f>IF(OR(J140=Dropdowns!$B$1,J140=Dropdowns!$B$2),1,0)</f>
        <v/>
      </c>
      <c r="AH140" s="122">
        <f>IF(OR(K140=Dropdowns!$B$1,K140=Dropdowns!$B$2),1,0)</f>
        <v/>
      </c>
      <c r="AI140" s="122">
        <f>IF(OR(L140=Dropdowns!$B$1,L140=Dropdowns!$B$2),1,0)</f>
        <v/>
      </c>
      <c r="AJ140" s="122">
        <f>IF(OR(M140=Dropdowns!$B$1,M140=Dropdowns!$B$2),1,0)</f>
        <v/>
      </c>
      <c r="AK140" s="122">
        <f>IF(OR(N140=Dropdowns!$B$1,N140=Dropdowns!$B$2),1,0)</f>
        <v/>
      </c>
      <c r="AL140" s="122">
        <f>IF(OR(O140=Dropdowns!$B$1,O140=Dropdowns!$B$2),1,0)</f>
        <v/>
      </c>
      <c r="AM140" s="122">
        <f>IF(OR(P140=Dropdowns!$B$1,P140=Dropdowns!$B$2),1,0)</f>
        <v/>
      </c>
      <c r="AN140" s="122">
        <f>IF(OR(Q140=Dropdowns!$B$1,Q140=Dropdowns!$B$2),1,0)</f>
        <v/>
      </c>
      <c r="AO140" s="122">
        <f>IF(OR(R140=Dropdowns!$B$1,R140=Dropdowns!$B$2),1,0)</f>
        <v/>
      </c>
      <c r="AP140" s="122">
        <f>IF(OR(S140=Dropdowns!$B$1,S140=Dropdowns!$B$2),1,0)</f>
        <v/>
      </c>
      <c r="AQ140" s="120">
        <f>SUM(AG140:AP140)</f>
        <v/>
      </c>
    </row>
    <row r="141" hidden="1" outlineLevel="1" ht="65.09999999999999" customHeight="1" s="59" thickBot="1" thickTop="1">
      <c r="B141" s="187" t="n"/>
      <c r="C141" s="48" t="inlineStr">
        <is>
          <t>Notes/comments on investor alignment:</t>
        </is>
      </c>
      <c r="D141" s="26" t="n"/>
      <c r="E141" s="26" t="n"/>
      <c r="F141" s="26" t="n"/>
      <c r="G141" s="26" t="n"/>
      <c r="H141" s="26" t="n"/>
      <c r="I141" s="26" t="n"/>
      <c r="J141" s="26" t="n"/>
      <c r="K141" s="26" t="n"/>
      <c r="L141" s="26" t="n"/>
      <c r="M141" s="26" t="n"/>
      <c r="N141" s="26" t="n"/>
      <c r="O141" s="26" t="n"/>
      <c r="P141" s="26" t="n"/>
      <c r="Q141" s="26" t="n"/>
      <c r="R141" s="26" t="n"/>
      <c r="S141" s="27" t="n"/>
      <c r="U141" s="188" t="n"/>
      <c r="V141" s="188" t="n"/>
      <c r="W141" s="188" t="n"/>
      <c r="Y141" s="122" t="n"/>
      <c r="Z141" s="122" t="n"/>
      <c r="AA141" s="122" t="n"/>
      <c r="AB141" s="122" t="n"/>
      <c r="AC141" s="122" t="n"/>
      <c r="AD141" s="122" t="n"/>
      <c r="AE141" s="122" t="n"/>
      <c r="AF141" s="122" t="n"/>
      <c r="AG141" s="122">
        <f>IF(AG$9=1,AG140,0)</f>
        <v/>
      </c>
      <c r="AH141" s="122">
        <f>IF(AH$9=1,AH140,0)</f>
        <v/>
      </c>
      <c r="AI141" s="122">
        <f>IF(AI$9=1,AI140,0)</f>
        <v/>
      </c>
      <c r="AJ141" s="122">
        <f>IF(AJ$9=1,AJ140,0)</f>
        <v/>
      </c>
      <c r="AK141" s="122">
        <f>IF(AK$9=1,AK140,0)</f>
        <v/>
      </c>
      <c r="AL141" s="122">
        <f>IF(AL$9=1,AL140,0)</f>
        <v/>
      </c>
      <c r="AM141" s="122">
        <f>IF(AM$9=1,AM140,0)</f>
        <v/>
      </c>
      <c r="AN141" s="122">
        <f>IF(AN$9=1,AN140,0)</f>
        <v/>
      </c>
      <c r="AO141" s="122">
        <f>IF(AO$9=1,AO140,0)</f>
        <v/>
      </c>
      <c r="AP141" s="122">
        <f>IF(AP$9=1,AP140,0)</f>
        <v/>
      </c>
      <c r="AQ141" s="120">
        <f>SUM(AG141:AP141)</f>
        <v/>
      </c>
    </row>
    <row r="142" hidden="1" outlineLevel="1" ht="6" customHeight="1" s="59" thickBot="1">
      <c r="A142" s="4" t="n"/>
      <c r="B142" s="55" t="n"/>
      <c r="C142" s="50" t="n"/>
      <c r="D142" s="95" t="n"/>
      <c r="E142" s="95" t="n"/>
      <c r="F142" s="95" t="n"/>
      <c r="G142" s="95" t="n"/>
      <c r="H142" s="95" t="n"/>
      <c r="I142" s="95" t="n"/>
      <c r="J142" s="95" t="n"/>
      <c r="K142" s="95" t="n"/>
      <c r="L142" s="95" t="n"/>
      <c r="M142" s="95" t="n"/>
      <c r="N142" s="95" t="n"/>
      <c r="O142" s="95" t="n"/>
      <c r="P142" s="95" t="n"/>
      <c r="Q142" s="95" t="n"/>
      <c r="R142" s="95" t="n"/>
      <c r="S142" s="95" t="n"/>
      <c r="U142" s="35" t="n"/>
      <c r="Y142" s="122" t="inlineStr">
        <is>
          <t>D</t>
        </is>
      </c>
      <c r="Z142" s="122" t="inlineStr">
        <is>
          <t>E</t>
        </is>
      </c>
      <c r="AA142" s="122" t="inlineStr">
        <is>
          <t>F</t>
        </is>
      </c>
      <c r="AB142" s="122" t="inlineStr">
        <is>
          <t>G</t>
        </is>
      </c>
      <c r="AC142" s="122" t="inlineStr">
        <is>
          <t>H</t>
        </is>
      </c>
      <c r="AD142" s="122" t="inlineStr">
        <is>
          <t>I</t>
        </is>
      </c>
      <c r="AE142" s="122" t="inlineStr">
        <is>
          <t>Total</t>
        </is>
      </c>
      <c r="AF142" s="122" t="n"/>
      <c r="AG142" s="122" t="inlineStr">
        <is>
          <t>Very or somewhat aligned</t>
        </is>
      </c>
      <c r="AH142" s="122" t="n"/>
      <c r="AI142" s="122" t="n"/>
      <c r="AJ142" s="122" t="n"/>
      <c r="AK142" s="122" t="n"/>
      <c r="AL142" s="122" t="n"/>
      <c r="AM142" s="122" t="n"/>
      <c r="AN142" s="122" t="n"/>
      <c r="AO142" s="122" t="n"/>
      <c r="AP142" s="122" t="n"/>
      <c r="AQ142" s="122" t="n"/>
    </row>
    <row r="143" hidden="1" outlineLevel="1" ht="24.9" customHeight="1" s="59" thickBot="1" thickTop="1">
      <c r="B143" s="189" t="n"/>
      <c r="C143" s="47" t="inlineStr">
        <is>
          <t>Alignment
(dropdown menu):</t>
        </is>
      </c>
      <c r="D143" s="24" t="n"/>
      <c r="E143" s="24" t="n"/>
      <c r="F143" s="24" t="n"/>
      <c r="G143" s="24" t="n"/>
      <c r="H143" s="24" t="n"/>
      <c r="I143" s="24" t="n"/>
      <c r="J143" s="24" t="n"/>
      <c r="K143" s="24" t="n"/>
      <c r="L143" s="24" t="n"/>
      <c r="M143" s="24" t="n"/>
      <c r="N143" s="24" t="n"/>
      <c r="O143" s="24" t="n"/>
      <c r="P143" s="24" t="n"/>
      <c r="Q143" s="24" t="n"/>
      <c r="R143" s="24" t="n"/>
      <c r="S143" s="25" t="n"/>
      <c r="U143" s="155">
        <f>IF(AE143=6,"Yes","No")</f>
        <v/>
      </c>
      <c r="V143" s="156">
        <f>CONCATENATE(AQ144,"/", AQ129)</f>
        <v/>
      </c>
      <c r="W143" s="156">
        <f>CONCATENATE(AQ143,"/", "10")</f>
        <v/>
      </c>
      <c r="Y143" s="122">
        <f>IF(OR(D143=Dropdowns!$B$1,D143=Dropdowns!$B$2),1,0)</f>
        <v/>
      </c>
      <c r="Z143" s="122">
        <f>IF(OR(E143=Dropdowns!$B$1,E143=Dropdowns!$B$2),1,0)</f>
        <v/>
      </c>
      <c r="AA143" s="122">
        <f>IF(OR(F143=Dropdowns!$B$1,F143=Dropdowns!$B$2),1,0)</f>
        <v/>
      </c>
      <c r="AB143" s="122">
        <f>IF(OR(G143=Dropdowns!$B$1,G143=Dropdowns!$B$2),1,0)</f>
        <v/>
      </c>
      <c r="AC143" s="122">
        <f>IF(OR(H143=Dropdowns!$B$1,H143=Dropdowns!$B$2),1,0)</f>
        <v/>
      </c>
      <c r="AD143" s="122">
        <f>IF(OR(I143=Dropdowns!$B$1,I143=Dropdowns!$B$2),1,0)</f>
        <v/>
      </c>
      <c r="AE143" s="122">
        <f>SUM(Y143:AD143)</f>
        <v/>
      </c>
      <c r="AF143" s="122" t="n"/>
      <c r="AG143" s="122">
        <f>IF(OR(J143=Dropdowns!$B$1,J143=Dropdowns!$B$2),1,0)</f>
        <v/>
      </c>
      <c r="AH143" s="122">
        <f>IF(OR(K143=Dropdowns!$B$1,K143=Dropdowns!$B$2),1,0)</f>
        <v/>
      </c>
      <c r="AI143" s="122">
        <f>IF(OR(L143=Dropdowns!$B$1,L143=Dropdowns!$B$2),1,0)</f>
        <v/>
      </c>
      <c r="AJ143" s="122">
        <f>IF(OR(M143=Dropdowns!$B$1,M143=Dropdowns!$B$2),1,0)</f>
        <v/>
      </c>
      <c r="AK143" s="122">
        <f>IF(OR(N143=Dropdowns!$B$1,N143=Dropdowns!$B$2),1,0)</f>
        <v/>
      </c>
      <c r="AL143" s="122">
        <f>IF(OR(O143=Dropdowns!$B$1,O143=Dropdowns!$B$2),1,0)</f>
        <v/>
      </c>
      <c r="AM143" s="122">
        <f>IF(OR(P143=Dropdowns!$B$1,P143=Dropdowns!$B$2),1,0)</f>
        <v/>
      </c>
      <c r="AN143" s="122">
        <f>IF(OR(Q143=Dropdowns!$B$1,Q143=Dropdowns!$B$2),1,0)</f>
        <v/>
      </c>
      <c r="AO143" s="122">
        <f>IF(OR(R143=Dropdowns!$B$1,R143=Dropdowns!$B$2),1,0)</f>
        <v/>
      </c>
      <c r="AP143" s="122">
        <f>IF(OR(S143=Dropdowns!$B$1,S143=Dropdowns!$B$2),1,0)</f>
        <v/>
      </c>
      <c r="AQ143" s="120">
        <f>SUM(AG143:AP143)</f>
        <v/>
      </c>
    </row>
    <row r="144" hidden="1" outlineLevel="1" ht="65.09999999999999" customHeight="1" s="59" thickBot="1" thickTop="1">
      <c r="B144" s="187" t="n"/>
      <c r="C144" s="48" t="inlineStr">
        <is>
          <t>Notes/comments on investor alignment:</t>
        </is>
      </c>
      <c r="D144" s="26" t="n"/>
      <c r="E144" s="26" t="n"/>
      <c r="F144" s="26" t="n"/>
      <c r="G144" s="26" t="n"/>
      <c r="H144" s="26" t="n"/>
      <c r="I144" s="26" t="n"/>
      <c r="J144" s="26" t="n"/>
      <c r="K144" s="26" t="n"/>
      <c r="L144" s="26" t="n"/>
      <c r="M144" s="26" t="n"/>
      <c r="N144" s="26" t="n"/>
      <c r="O144" s="26" t="n"/>
      <c r="P144" s="26" t="n"/>
      <c r="Q144" s="26" t="n"/>
      <c r="R144" s="26" t="n"/>
      <c r="S144" s="27" t="n"/>
      <c r="U144" s="188" t="n"/>
      <c r="V144" s="188" t="n"/>
      <c r="W144" s="188" t="n"/>
      <c r="Y144" s="122" t="n"/>
      <c r="Z144" s="122" t="n"/>
      <c r="AA144" s="122" t="n"/>
      <c r="AB144" s="122" t="n"/>
      <c r="AC144" s="122" t="n"/>
      <c r="AD144" s="122" t="n"/>
      <c r="AE144" s="122" t="n"/>
      <c r="AF144" s="122" t="n"/>
      <c r="AG144" s="122">
        <f>IF(AG$9=1,AG143,0)</f>
        <v/>
      </c>
      <c r="AH144" s="122">
        <f>IF(AH$9=1,AH143,0)</f>
        <v/>
      </c>
      <c r="AI144" s="122">
        <f>IF(AI$9=1,AI143,0)</f>
        <v/>
      </c>
      <c r="AJ144" s="122">
        <f>IF(AJ$9=1,AJ143,0)</f>
        <v/>
      </c>
      <c r="AK144" s="122">
        <f>IF(AK$9=1,AK143,0)</f>
        <v/>
      </c>
      <c r="AL144" s="122">
        <f>IF(AL$9=1,AL143,0)</f>
        <v/>
      </c>
      <c r="AM144" s="122">
        <f>IF(AM$9=1,AM143,0)</f>
        <v/>
      </c>
      <c r="AN144" s="122">
        <f>IF(AN$9=1,AN143,0)</f>
        <v/>
      </c>
      <c r="AO144" s="122">
        <f>IF(AO$9=1,AO143,0)</f>
        <v/>
      </c>
      <c r="AP144" s="122">
        <f>IF(AP$9=1,AP143,0)</f>
        <v/>
      </c>
      <c r="AQ144" s="120">
        <f>SUM(AG144:AP144)</f>
        <v/>
      </c>
    </row>
    <row r="145" hidden="1" outlineLevel="1" ht="6" customHeight="1" s="59" thickBot="1">
      <c r="A145" s="4" t="n"/>
      <c r="B145" s="55" t="n"/>
      <c r="C145" s="50" t="n"/>
      <c r="D145" s="95" t="n"/>
      <c r="E145" s="95" t="n"/>
      <c r="F145" s="95" t="n"/>
      <c r="G145" s="95" t="n"/>
      <c r="H145" s="95" t="n"/>
      <c r="I145" s="95" t="n"/>
      <c r="J145" s="95" t="n"/>
      <c r="K145" s="95" t="n"/>
      <c r="L145" s="95" t="n"/>
      <c r="M145" s="95" t="n"/>
      <c r="N145" s="95" t="n"/>
      <c r="O145" s="95" t="n"/>
      <c r="P145" s="95" t="n"/>
      <c r="Q145" s="95" t="n"/>
      <c r="R145" s="95" t="n"/>
      <c r="S145" s="95" t="n"/>
      <c r="U145" s="35" t="n"/>
      <c r="Y145" s="122" t="inlineStr">
        <is>
          <t>D</t>
        </is>
      </c>
      <c r="Z145" s="122" t="inlineStr">
        <is>
          <t>E</t>
        </is>
      </c>
      <c r="AA145" s="122" t="inlineStr">
        <is>
          <t>F</t>
        </is>
      </c>
      <c r="AB145" s="122" t="inlineStr">
        <is>
          <t>G</t>
        </is>
      </c>
      <c r="AC145" s="122" t="inlineStr">
        <is>
          <t>H</t>
        </is>
      </c>
      <c r="AD145" s="122" t="inlineStr">
        <is>
          <t>I</t>
        </is>
      </c>
      <c r="AE145" s="122" t="inlineStr">
        <is>
          <t>Total</t>
        </is>
      </c>
      <c r="AF145" s="122" t="n"/>
      <c r="AG145" s="122" t="inlineStr">
        <is>
          <t>Very or somewhat aligned</t>
        </is>
      </c>
      <c r="AH145" s="122" t="n"/>
      <c r="AI145" s="122" t="n"/>
      <c r="AJ145" s="122" t="n"/>
      <c r="AK145" s="122" t="n"/>
      <c r="AL145" s="122" t="n"/>
      <c r="AM145" s="122" t="n"/>
      <c r="AN145" s="122" t="n"/>
      <c r="AO145" s="122" t="n"/>
      <c r="AP145" s="122" t="n"/>
      <c r="AQ145" s="122" t="n"/>
    </row>
    <row r="146" hidden="1" outlineLevel="1" ht="24.9" customHeight="1" s="59" thickBot="1" thickTop="1">
      <c r="B146" s="189" t="n"/>
      <c r="C146" s="47" t="inlineStr">
        <is>
          <t>Alignment
(dropdown menu):</t>
        </is>
      </c>
      <c r="D146" s="24" t="n"/>
      <c r="E146" s="24" t="n"/>
      <c r="F146" s="24" t="n"/>
      <c r="G146" s="24" t="n"/>
      <c r="H146" s="24" t="n"/>
      <c r="I146" s="24" t="n"/>
      <c r="J146" s="24" t="n"/>
      <c r="K146" s="24" t="n"/>
      <c r="L146" s="24" t="n"/>
      <c r="M146" s="24" t="n"/>
      <c r="N146" s="24" t="n"/>
      <c r="O146" s="24" t="n"/>
      <c r="P146" s="24" t="n"/>
      <c r="Q146" s="24" t="n"/>
      <c r="R146" s="24" t="n"/>
      <c r="S146" s="25" t="n"/>
      <c r="U146" s="155">
        <f>IF(AE146=6,"Yes","No")</f>
        <v/>
      </c>
      <c r="V146" s="156">
        <f>CONCATENATE(AQ147,"/", AQ129)</f>
        <v/>
      </c>
      <c r="W146" s="156">
        <f>CONCATENATE(AQ146,"/", "10")</f>
        <v/>
      </c>
      <c r="Y146" s="122">
        <f>IF(OR(D146=Dropdowns!$B$1,D146=Dropdowns!$B$2),1,0)</f>
        <v/>
      </c>
      <c r="Z146" s="122">
        <f>IF(OR(E146=Dropdowns!$B$1,E146=Dropdowns!$B$2),1,0)</f>
        <v/>
      </c>
      <c r="AA146" s="122">
        <f>IF(OR(F146=Dropdowns!$B$1,F146=Dropdowns!$B$2),1,0)</f>
        <v/>
      </c>
      <c r="AB146" s="122">
        <f>IF(OR(G146=Dropdowns!$B$1,G146=Dropdowns!$B$2),1,0)</f>
        <v/>
      </c>
      <c r="AC146" s="122">
        <f>IF(OR(H146=Dropdowns!$B$1,H146=Dropdowns!$B$2),1,0)</f>
        <v/>
      </c>
      <c r="AD146" s="122">
        <f>IF(OR(I146=Dropdowns!$B$1,I146=Dropdowns!$B$2),1,0)</f>
        <v/>
      </c>
      <c r="AE146" s="122">
        <f>SUM(Y146:AD146)</f>
        <v/>
      </c>
      <c r="AF146" s="122" t="n"/>
      <c r="AG146" s="122">
        <f>IF(OR(J146=Dropdowns!$B$1,J146=Dropdowns!$B$2),1,0)</f>
        <v/>
      </c>
      <c r="AH146" s="122">
        <f>IF(OR(K146=Dropdowns!$B$1,K146=Dropdowns!$B$2),1,0)</f>
        <v/>
      </c>
      <c r="AI146" s="122">
        <f>IF(OR(L146=Dropdowns!$B$1,L146=Dropdowns!$B$2),1,0)</f>
        <v/>
      </c>
      <c r="AJ146" s="122">
        <f>IF(OR(M146=Dropdowns!$B$1,M146=Dropdowns!$B$2),1,0)</f>
        <v/>
      </c>
      <c r="AK146" s="122">
        <f>IF(OR(N146=Dropdowns!$B$1,N146=Dropdowns!$B$2),1,0)</f>
        <v/>
      </c>
      <c r="AL146" s="122">
        <f>IF(OR(O146=Dropdowns!$B$1,O146=Dropdowns!$B$2),1,0)</f>
        <v/>
      </c>
      <c r="AM146" s="122">
        <f>IF(OR(P146=Dropdowns!$B$1,P146=Dropdowns!$B$2),1,0)</f>
        <v/>
      </c>
      <c r="AN146" s="122">
        <f>IF(OR(Q146=Dropdowns!$B$1,Q146=Dropdowns!$B$2),1,0)</f>
        <v/>
      </c>
      <c r="AO146" s="122">
        <f>IF(OR(R146=Dropdowns!$B$1,R146=Dropdowns!$B$2),1,0)</f>
        <v/>
      </c>
      <c r="AP146" s="122">
        <f>IF(OR(S146=Dropdowns!$B$1,S146=Dropdowns!$B$2),1,0)</f>
        <v/>
      </c>
      <c r="AQ146" s="120">
        <f>SUM(AG146:AP146)</f>
        <v/>
      </c>
    </row>
    <row r="147" hidden="1" outlineLevel="1" ht="65.09999999999999" customHeight="1" s="59" thickBot="1" thickTop="1">
      <c r="B147" s="187" t="n"/>
      <c r="C147" s="48" t="inlineStr">
        <is>
          <t>Notes/comments on investor alignment:</t>
        </is>
      </c>
      <c r="D147" s="26" t="n"/>
      <c r="E147" s="26" t="n"/>
      <c r="F147" s="26" t="n"/>
      <c r="G147" s="26" t="n"/>
      <c r="H147" s="26" t="n"/>
      <c r="I147" s="26" t="n"/>
      <c r="J147" s="26" t="n"/>
      <c r="K147" s="26" t="n"/>
      <c r="L147" s="26" t="n"/>
      <c r="M147" s="26" t="n"/>
      <c r="N147" s="26" t="n"/>
      <c r="O147" s="26" t="n"/>
      <c r="P147" s="26" t="n"/>
      <c r="Q147" s="26" t="n"/>
      <c r="R147" s="26" t="n"/>
      <c r="S147" s="27" t="n"/>
      <c r="U147" s="188" t="n"/>
      <c r="V147" s="188" t="n"/>
      <c r="W147" s="188" t="n"/>
      <c r="Y147" s="122" t="n"/>
      <c r="Z147" s="122" t="n"/>
      <c r="AA147" s="122" t="n"/>
      <c r="AB147" s="122" t="n"/>
      <c r="AC147" s="122" t="n"/>
      <c r="AD147" s="122" t="n"/>
      <c r="AE147" s="122" t="n"/>
      <c r="AF147" s="122" t="n"/>
      <c r="AG147" s="122">
        <f>IF(AG$9=1,AG146,0)</f>
        <v/>
      </c>
      <c r="AH147" s="122">
        <f>IF(AH$9=1,AH146,0)</f>
        <v/>
      </c>
      <c r="AI147" s="122">
        <f>IF(AI$9=1,AI146,0)</f>
        <v/>
      </c>
      <c r="AJ147" s="122">
        <f>IF(AJ$9=1,AJ146,0)</f>
        <v/>
      </c>
      <c r="AK147" s="122">
        <f>IF(AK$9=1,AK146,0)</f>
        <v/>
      </c>
      <c r="AL147" s="122">
        <f>IF(AL$9=1,AL146,0)</f>
        <v/>
      </c>
      <c r="AM147" s="122">
        <f>IF(AM$9=1,AM146,0)</f>
        <v/>
      </c>
      <c r="AN147" s="122">
        <f>IF(AN$9=1,AN146,0)</f>
        <v/>
      </c>
      <c r="AO147" s="122">
        <f>IF(AO$9=1,AO146,0)</f>
        <v/>
      </c>
      <c r="AP147" s="122">
        <f>IF(AP$9=1,AP146,0)</f>
        <v/>
      </c>
      <c r="AQ147" s="120">
        <f>SUM(AG147:AP147)</f>
        <v/>
      </c>
    </row>
    <row r="148" hidden="1" outlineLevel="1" ht="6" customHeight="1" s="59" thickBot="1">
      <c r="C148" s="51" t="n"/>
      <c r="D148" s="95" t="n"/>
      <c r="E148" s="95" t="n"/>
      <c r="F148" s="95" t="n"/>
      <c r="G148" s="95" t="n"/>
      <c r="H148" s="95" t="n"/>
      <c r="I148" s="95" t="n"/>
      <c r="J148" s="95" t="n"/>
      <c r="K148" s="95" t="n"/>
      <c r="L148" s="95" t="n"/>
      <c r="M148" s="95" t="n"/>
      <c r="N148" s="95" t="n"/>
      <c r="O148" s="95" t="n"/>
      <c r="P148" s="95" t="n"/>
      <c r="Q148" s="95" t="n"/>
      <c r="R148" s="95" t="n"/>
      <c r="S148" s="95" t="n"/>
      <c r="U148" s="35" t="n"/>
      <c r="Y148" s="122" t="inlineStr">
        <is>
          <t>D</t>
        </is>
      </c>
      <c r="Z148" s="122" t="inlineStr">
        <is>
          <t>E</t>
        </is>
      </c>
      <c r="AA148" s="122" t="inlineStr">
        <is>
          <t>F</t>
        </is>
      </c>
      <c r="AB148" s="122" t="inlineStr">
        <is>
          <t>G</t>
        </is>
      </c>
      <c r="AC148" s="122" t="inlineStr">
        <is>
          <t>H</t>
        </is>
      </c>
      <c r="AD148" s="122" t="inlineStr">
        <is>
          <t>I</t>
        </is>
      </c>
      <c r="AE148" s="122" t="inlineStr">
        <is>
          <t>Total</t>
        </is>
      </c>
      <c r="AF148" s="122" t="n"/>
      <c r="AG148" s="122" t="inlineStr">
        <is>
          <t>Very or somewhat aligned</t>
        </is>
      </c>
      <c r="AH148" s="122" t="n"/>
      <c r="AI148" s="122" t="n"/>
      <c r="AJ148" s="122" t="n"/>
      <c r="AK148" s="122" t="n"/>
      <c r="AL148" s="122" t="n"/>
      <c r="AM148" s="122" t="n"/>
      <c r="AN148" s="122" t="n"/>
      <c r="AO148" s="122" t="n"/>
      <c r="AP148" s="122" t="n"/>
      <c r="AQ148" s="122" t="n"/>
    </row>
    <row r="149" hidden="1" outlineLevel="1" ht="24.9" customHeight="1" s="59" thickBot="1" thickTop="1">
      <c r="B149" s="189" t="n"/>
      <c r="C149" s="47" t="inlineStr">
        <is>
          <t>Alignment
(dropdown menu):</t>
        </is>
      </c>
      <c r="D149" s="24" t="n"/>
      <c r="E149" s="24" t="n"/>
      <c r="F149" s="24" t="n"/>
      <c r="G149" s="24" t="n"/>
      <c r="H149" s="24" t="n"/>
      <c r="I149" s="24" t="n"/>
      <c r="J149" s="24" t="n"/>
      <c r="K149" s="24" t="n"/>
      <c r="L149" s="24" t="n"/>
      <c r="M149" s="24" t="n"/>
      <c r="N149" s="24" t="n"/>
      <c r="O149" s="24" t="n"/>
      <c r="P149" s="24" t="n"/>
      <c r="Q149" s="24" t="n"/>
      <c r="R149" s="24" t="n"/>
      <c r="S149" s="25" t="n"/>
      <c r="U149" s="155">
        <f>IF(AE149=6,"Yes","No")</f>
        <v/>
      </c>
      <c r="V149" s="156">
        <f>CONCATENATE(AQ150,"/", AQ129)</f>
        <v/>
      </c>
      <c r="W149" s="156">
        <f>CONCATENATE(AQ149,"/", "10")</f>
        <v/>
      </c>
      <c r="Y149" s="122">
        <f>IF(OR(D149=Dropdowns!$B$1,D149=Dropdowns!$B$2),1,0)</f>
        <v/>
      </c>
      <c r="Z149" s="122">
        <f>IF(OR(E149=Dropdowns!$B$1,E149=Dropdowns!$B$2),1,0)</f>
        <v/>
      </c>
      <c r="AA149" s="122">
        <f>IF(OR(F149=Dropdowns!$B$1,F149=Dropdowns!$B$2),1,0)</f>
        <v/>
      </c>
      <c r="AB149" s="122">
        <f>IF(OR(G149=Dropdowns!$B$1,G149=Dropdowns!$B$2),1,0)</f>
        <v/>
      </c>
      <c r="AC149" s="122">
        <f>IF(OR(H149=Dropdowns!$B$1,H149=Dropdowns!$B$2),1,0)</f>
        <v/>
      </c>
      <c r="AD149" s="122">
        <f>IF(OR(I149=Dropdowns!$B$1,I149=Dropdowns!$B$2),1,0)</f>
        <v/>
      </c>
      <c r="AE149" s="122">
        <f>SUM(Y149:AD149)</f>
        <v/>
      </c>
      <c r="AF149" s="122" t="n"/>
      <c r="AG149" s="122">
        <f>IF(OR(J149=Dropdowns!$B$1,J149=Dropdowns!$B$2),1,0)</f>
        <v/>
      </c>
      <c r="AH149" s="122">
        <f>IF(OR(K149=Dropdowns!$B$1,K149=Dropdowns!$B$2),1,0)</f>
        <v/>
      </c>
      <c r="AI149" s="122">
        <f>IF(OR(L149=Dropdowns!$B$1,L149=Dropdowns!$B$2),1,0)</f>
        <v/>
      </c>
      <c r="AJ149" s="122">
        <f>IF(OR(M149=Dropdowns!$B$1,M149=Dropdowns!$B$2),1,0)</f>
        <v/>
      </c>
      <c r="AK149" s="122">
        <f>IF(OR(N149=Dropdowns!$B$1,N149=Dropdowns!$B$2),1,0)</f>
        <v/>
      </c>
      <c r="AL149" s="122">
        <f>IF(OR(O149=Dropdowns!$B$1,O149=Dropdowns!$B$2),1,0)</f>
        <v/>
      </c>
      <c r="AM149" s="122">
        <f>IF(OR(P149=Dropdowns!$B$1,P149=Dropdowns!$B$2),1,0)</f>
        <v/>
      </c>
      <c r="AN149" s="122">
        <f>IF(OR(Q149=Dropdowns!$B$1,Q149=Dropdowns!$B$2),1,0)</f>
        <v/>
      </c>
      <c r="AO149" s="122">
        <f>IF(OR(R149=Dropdowns!$B$1,R149=Dropdowns!$B$2),1,0)</f>
        <v/>
      </c>
      <c r="AP149" s="122">
        <f>IF(OR(S149=Dropdowns!$B$1,S149=Dropdowns!$B$2),1,0)</f>
        <v/>
      </c>
      <c r="AQ149" s="120">
        <f>SUM(AG149:AP149)</f>
        <v/>
      </c>
    </row>
    <row r="150" hidden="1" outlineLevel="1" ht="65.09999999999999" customHeight="1" s="59" thickBot="1" thickTop="1">
      <c r="B150" s="187" t="n"/>
      <c r="C150" s="48" t="inlineStr">
        <is>
          <t>Notes/comments on investor alignment:</t>
        </is>
      </c>
      <c r="D150" s="26" t="n"/>
      <c r="E150" s="26" t="n"/>
      <c r="F150" s="26" t="n"/>
      <c r="G150" s="26" t="n"/>
      <c r="H150" s="26" t="n"/>
      <c r="I150" s="26" t="n"/>
      <c r="J150" s="26" t="n"/>
      <c r="K150" s="26" t="n"/>
      <c r="L150" s="26" t="n"/>
      <c r="M150" s="26" t="n"/>
      <c r="N150" s="26" t="n"/>
      <c r="O150" s="26" t="n"/>
      <c r="P150" s="26" t="n"/>
      <c r="Q150" s="26" t="n"/>
      <c r="R150" s="26" t="n"/>
      <c r="S150" s="27" t="n"/>
      <c r="U150" s="188" t="n"/>
      <c r="V150" s="188" t="n"/>
      <c r="W150" s="188" t="n"/>
      <c r="Y150" s="122" t="n"/>
      <c r="Z150" s="122" t="n"/>
      <c r="AA150" s="122" t="n"/>
      <c r="AB150" s="122" t="n"/>
      <c r="AC150" s="122" t="n"/>
      <c r="AD150" s="122" t="n"/>
      <c r="AE150" s="122" t="n"/>
      <c r="AF150" s="122" t="n"/>
      <c r="AG150" s="122">
        <f>IF(AG$9=1,AG149,0)</f>
        <v/>
      </c>
      <c r="AH150" s="122">
        <f>IF(AH$9=1,AH149,0)</f>
        <v/>
      </c>
      <c r="AI150" s="122">
        <f>IF(AI$9=1,AI149,0)</f>
        <v/>
      </c>
      <c r="AJ150" s="122">
        <f>IF(AJ$9=1,AJ149,0)</f>
        <v/>
      </c>
      <c r="AK150" s="122">
        <f>IF(AK$9=1,AK149,0)</f>
        <v/>
      </c>
      <c r="AL150" s="122">
        <f>IF(AL$9=1,AL149,0)</f>
        <v/>
      </c>
      <c r="AM150" s="122">
        <f>IF(AM$9=1,AM149,0)</f>
        <v/>
      </c>
      <c r="AN150" s="122">
        <f>IF(AN$9=1,AN149,0)</f>
        <v/>
      </c>
      <c r="AO150" s="122">
        <f>IF(AO$9=1,AO149,0)</f>
        <v/>
      </c>
      <c r="AP150" s="122">
        <f>IF(AP$9=1,AP149,0)</f>
        <v/>
      </c>
      <c r="AQ150" s="120">
        <f>SUM(AG150:AP150)</f>
        <v/>
      </c>
    </row>
    <row r="151" hidden="1" outlineLevel="1" ht="6" customHeight="1" s="59" thickBot="1">
      <c r="C151" s="51" t="n"/>
      <c r="D151" s="95" t="n"/>
      <c r="E151" s="95" t="n"/>
      <c r="F151" s="95" t="n"/>
      <c r="G151" s="95" t="n"/>
      <c r="H151" s="95" t="n"/>
      <c r="I151" s="95" t="n"/>
      <c r="J151" s="95" t="n"/>
      <c r="K151" s="95" t="n"/>
      <c r="L151" s="95" t="n"/>
      <c r="M151" s="95" t="n"/>
      <c r="N151" s="95" t="n"/>
      <c r="O151" s="95" t="n"/>
      <c r="P151" s="95" t="n"/>
      <c r="Q151" s="95" t="n"/>
      <c r="R151" s="95" t="n"/>
      <c r="S151" s="95" t="n"/>
      <c r="U151" s="35" t="n"/>
      <c r="Y151" s="122" t="inlineStr">
        <is>
          <t>D</t>
        </is>
      </c>
      <c r="Z151" s="122" t="inlineStr">
        <is>
          <t>E</t>
        </is>
      </c>
      <c r="AA151" s="122" t="inlineStr">
        <is>
          <t>F</t>
        </is>
      </c>
      <c r="AB151" s="122" t="inlineStr">
        <is>
          <t>G</t>
        </is>
      </c>
      <c r="AC151" s="122" t="inlineStr">
        <is>
          <t>H</t>
        </is>
      </c>
      <c r="AD151" s="122" t="inlineStr">
        <is>
          <t>I</t>
        </is>
      </c>
      <c r="AE151" s="122" t="inlineStr">
        <is>
          <t>Total</t>
        </is>
      </c>
      <c r="AF151" s="122" t="n"/>
      <c r="AG151" s="122" t="inlineStr">
        <is>
          <t>Very or somewhat aligned</t>
        </is>
      </c>
      <c r="AH151" s="122" t="n"/>
      <c r="AI151" s="122" t="n"/>
      <c r="AJ151" s="122" t="n"/>
      <c r="AK151" s="122" t="n"/>
      <c r="AL151" s="122" t="n"/>
      <c r="AM151" s="122" t="n"/>
      <c r="AN151" s="122" t="n"/>
      <c r="AO151" s="122" t="n"/>
      <c r="AP151" s="122" t="n"/>
      <c r="AQ151" s="122" t="n"/>
    </row>
    <row r="152" hidden="1" outlineLevel="1" ht="24.9" customHeight="1" s="59" thickBot="1" thickTop="1">
      <c r="B152" s="189" t="n"/>
      <c r="C152" s="47" t="inlineStr">
        <is>
          <t>Alignment
(dropdown menu):</t>
        </is>
      </c>
      <c r="D152" s="24" t="n"/>
      <c r="E152" s="24" t="n"/>
      <c r="F152" s="24" t="n"/>
      <c r="G152" s="24" t="n"/>
      <c r="H152" s="24" t="n"/>
      <c r="I152" s="24" t="n"/>
      <c r="J152" s="24" t="n"/>
      <c r="K152" s="24" t="n"/>
      <c r="L152" s="24" t="n"/>
      <c r="M152" s="24" t="n"/>
      <c r="N152" s="24" t="n"/>
      <c r="O152" s="24" t="n"/>
      <c r="P152" s="24" t="n"/>
      <c r="Q152" s="24" t="n"/>
      <c r="R152" s="24" t="n"/>
      <c r="S152" s="25" t="n"/>
      <c r="U152" s="155">
        <f>IF(AE152=6,"Yes","No")</f>
        <v/>
      </c>
      <c r="V152" s="156">
        <f>CONCATENATE(AQ153,"/", AQ129)</f>
        <v/>
      </c>
      <c r="W152" s="156">
        <f>CONCATENATE(AQ152,"/", "10")</f>
        <v/>
      </c>
      <c r="Y152" s="122">
        <f>IF(OR(D152=Dropdowns!$B$1,D152=Dropdowns!$B$2),1,0)</f>
        <v/>
      </c>
      <c r="Z152" s="122">
        <f>IF(OR(E152=Dropdowns!$B$1,E152=Dropdowns!$B$2),1,0)</f>
        <v/>
      </c>
      <c r="AA152" s="122">
        <f>IF(OR(F152=Dropdowns!$B$1,F152=Dropdowns!$B$2),1,0)</f>
        <v/>
      </c>
      <c r="AB152" s="122">
        <f>IF(OR(G152=Dropdowns!$B$1,G152=Dropdowns!$B$2),1,0)</f>
        <v/>
      </c>
      <c r="AC152" s="122">
        <f>IF(OR(H152=Dropdowns!$B$1,H152=Dropdowns!$B$2),1,0)</f>
        <v/>
      </c>
      <c r="AD152" s="122">
        <f>IF(OR(I152=Dropdowns!$B$1,I152=Dropdowns!$B$2),1,0)</f>
        <v/>
      </c>
      <c r="AE152" s="122">
        <f>SUM(Y152:AD152)</f>
        <v/>
      </c>
      <c r="AF152" s="122" t="n"/>
      <c r="AG152" s="122">
        <f>IF(OR(J152=Dropdowns!$B$1,J152=Dropdowns!$B$2),1,0)</f>
        <v/>
      </c>
      <c r="AH152" s="122">
        <f>IF(OR(K152=Dropdowns!$B$1,K152=Dropdowns!$B$2),1,0)</f>
        <v/>
      </c>
      <c r="AI152" s="122">
        <f>IF(OR(L152=Dropdowns!$B$1,L152=Dropdowns!$B$2),1,0)</f>
        <v/>
      </c>
      <c r="AJ152" s="122">
        <f>IF(OR(M152=Dropdowns!$B$1,M152=Dropdowns!$B$2),1,0)</f>
        <v/>
      </c>
      <c r="AK152" s="122">
        <f>IF(OR(N152=Dropdowns!$B$1,N152=Dropdowns!$B$2),1,0)</f>
        <v/>
      </c>
      <c r="AL152" s="122">
        <f>IF(OR(O152=Dropdowns!$B$1,O152=Dropdowns!$B$2),1,0)</f>
        <v/>
      </c>
      <c r="AM152" s="122">
        <f>IF(OR(P152=Dropdowns!$B$1,P152=Dropdowns!$B$2),1,0)</f>
        <v/>
      </c>
      <c r="AN152" s="122">
        <f>IF(OR(Q152=Dropdowns!$B$1,Q152=Dropdowns!$B$2),1,0)</f>
        <v/>
      </c>
      <c r="AO152" s="122">
        <f>IF(OR(R152=Dropdowns!$B$1,R152=Dropdowns!$B$2),1,0)</f>
        <v/>
      </c>
      <c r="AP152" s="122">
        <f>IF(OR(S152=Dropdowns!$B$1,S152=Dropdowns!$B$2),1,0)</f>
        <v/>
      </c>
      <c r="AQ152" s="120">
        <f>SUM(AG152:AP152)</f>
        <v/>
      </c>
    </row>
    <row r="153" hidden="1" outlineLevel="1" ht="65.09999999999999" customHeight="1" s="59" thickBot="1" thickTop="1">
      <c r="B153" s="187" t="n"/>
      <c r="C153" s="48" t="inlineStr">
        <is>
          <t>Notes/comments on investor alignment:</t>
        </is>
      </c>
      <c r="D153" s="26" t="n"/>
      <c r="E153" s="26" t="n"/>
      <c r="F153" s="26" t="n"/>
      <c r="G153" s="26" t="n"/>
      <c r="H153" s="26" t="n"/>
      <c r="I153" s="26" t="n"/>
      <c r="J153" s="26" t="n"/>
      <c r="K153" s="26" t="n"/>
      <c r="L153" s="26" t="n"/>
      <c r="M153" s="26" t="n"/>
      <c r="N153" s="26" t="n"/>
      <c r="O153" s="26" t="n"/>
      <c r="P153" s="26" t="n"/>
      <c r="Q153" s="26" t="n"/>
      <c r="R153" s="26" t="n"/>
      <c r="S153" s="27" t="n"/>
      <c r="U153" s="188" t="n"/>
      <c r="V153" s="188" t="n"/>
      <c r="W153" s="188" t="n"/>
      <c r="Y153" s="122" t="n"/>
      <c r="Z153" s="122" t="n"/>
      <c r="AA153" s="122" t="n"/>
      <c r="AB153" s="122" t="n"/>
      <c r="AC153" s="122" t="n"/>
      <c r="AD153" s="122" t="n"/>
      <c r="AE153" s="122" t="n"/>
      <c r="AF153" s="122" t="n"/>
      <c r="AG153" s="122">
        <f>IF(AG$9=1,AG152,0)</f>
        <v/>
      </c>
      <c r="AH153" s="122">
        <f>IF(AH$9=1,AH152,0)</f>
        <v/>
      </c>
      <c r="AI153" s="122">
        <f>IF(AI$9=1,AI152,0)</f>
        <v/>
      </c>
      <c r="AJ153" s="122">
        <f>IF(AJ$9=1,AJ152,0)</f>
        <v/>
      </c>
      <c r="AK153" s="122">
        <f>IF(AK$9=1,AK152,0)</f>
        <v/>
      </c>
      <c r="AL153" s="122">
        <f>IF(AL$9=1,AL152,0)</f>
        <v/>
      </c>
      <c r="AM153" s="122">
        <f>IF(AM$9=1,AM152,0)</f>
        <v/>
      </c>
      <c r="AN153" s="122">
        <f>IF(AN$9=1,AN152,0)</f>
        <v/>
      </c>
      <c r="AO153" s="122">
        <f>IF(AO$9=1,AO152,0)</f>
        <v/>
      </c>
      <c r="AP153" s="122">
        <f>IF(AP$9=1,AP152,0)</f>
        <v/>
      </c>
      <c r="AQ153" s="120">
        <f>SUM(AG153:AP153)</f>
        <v/>
      </c>
    </row>
    <row r="154" hidden="1" outlineLevel="1" ht="6" customHeight="1" s="59" thickBot="1">
      <c r="C154" s="51" t="n"/>
      <c r="D154" s="95" t="n"/>
      <c r="E154" s="95" t="n"/>
      <c r="F154" s="95" t="n"/>
      <c r="G154" s="95" t="n"/>
      <c r="H154" s="95" t="n"/>
      <c r="I154" s="95" t="n"/>
      <c r="J154" s="95" t="n"/>
      <c r="K154" s="95" t="n"/>
      <c r="L154" s="95" t="n"/>
      <c r="M154" s="95" t="n"/>
      <c r="N154" s="95" t="n"/>
      <c r="O154" s="95" t="n"/>
      <c r="P154" s="95" t="n"/>
      <c r="Q154" s="95" t="n"/>
      <c r="R154" s="95" t="n"/>
      <c r="S154" s="95" t="n"/>
      <c r="U154" s="35" t="n"/>
      <c r="Y154" s="122" t="inlineStr">
        <is>
          <t>D</t>
        </is>
      </c>
      <c r="Z154" s="122" t="inlineStr">
        <is>
          <t>E</t>
        </is>
      </c>
      <c r="AA154" s="122" t="inlineStr">
        <is>
          <t>F</t>
        </is>
      </c>
      <c r="AB154" s="122" t="inlineStr">
        <is>
          <t>G</t>
        </is>
      </c>
      <c r="AC154" s="122" t="inlineStr">
        <is>
          <t>H</t>
        </is>
      </c>
      <c r="AD154" s="122" t="inlineStr">
        <is>
          <t>I</t>
        </is>
      </c>
      <c r="AE154" s="122" t="inlineStr">
        <is>
          <t>Total</t>
        </is>
      </c>
      <c r="AF154" s="122" t="n"/>
      <c r="AG154" s="122" t="inlineStr">
        <is>
          <t>Very or somewhat aligned</t>
        </is>
      </c>
      <c r="AH154" s="122" t="n"/>
      <c r="AI154" s="122" t="n"/>
      <c r="AJ154" s="122" t="n"/>
      <c r="AK154" s="122" t="n"/>
      <c r="AL154" s="122" t="n"/>
      <c r="AM154" s="122" t="n"/>
      <c r="AN154" s="122" t="n"/>
      <c r="AO154" s="122" t="n"/>
      <c r="AP154" s="122" t="n"/>
      <c r="AQ154" s="122" t="n"/>
    </row>
    <row r="155" hidden="1" outlineLevel="1" ht="24.9" customHeight="1" s="59" thickBot="1" thickTop="1">
      <c r="B155" s="189" t="n"/>
      <c r="C155" s="47" t="inlineStr">
        <is>
          <t>Alignment
(dropdown menu):</t>
        </is>
      </c>
      <c r="D155" s="24" t="n"/>
      <c r="E155" s="24" t="n"/>
      <c r="F155" s="24" t="n"/>
      <c r="G155" s="24" t="n"/>
      <c r="H155" s="24" t="n"/>
      <c r="I155" s="24" t="n"/>
      <c r="J155" s="24" t="n"/>
      <c r="K155" s="24" t="n"/>
      <c r="L155" s="24" t="n"/>
      <c r="M155" s="24" t="n"/>
      <c r="N155" s="24" t="n"/>
      <c r="O155" s="24" t="n"/>
      <c r="P155" s="24" t="n"/>
      <c r="Q155" s="24" t="n"/>
      <c r="R155" s="24" t="n"/>
      <c r="S155" s="25" t="n"/>
      <c r="U155" s="155">
        <f>IF(AE155=6,"Yes","No")</f>
        <v/>
      </c>
      <c r="V155" s="156">
        <f>CONCATENATE(AQ156,"/", AQ129)</f>
        <v/>
      </c>
      <c r="W155" s="156">
        <f>CONCATENATE(AQ155,"/", "10")</f>
        <v/>
      </c>
      <c r="Y155" s="122">
        <f>IF(OR(D155=Dropdowns!$B$1,D155=Dropdowns!$B$2),1,0)</f>
        <v/>
      </c>
      <c r="Z155" s="122">
        <f>IF(OR(E155=Dropdowns!$B$1,E155=Dropdowns!$B$2),1,0)</f>
        <v/>
      </c>
      <c r="AA155" s="122">
        <f>IF(OR(F155=Dropdowns!$B$1,F155=Dropdowns!$B$2),1,0)</f>
        <v/>
      </c>
      <c r="AB155" s="122">
        <f>IF(OR(G155=Dropdowns!$B$1,G155=Dropdowns!$B$2),1,0)</f>
        <v/>
      </c>
      <c r="AC155" s="122">
        <f>IF(OR(H155=Dropdowns!$B$1,H155=Dropdowns!$B$2),1,0)</f>
        <v/>
      </c>
      <c r="AD155" s="122">
        <f>IF(OR(I155=Dropdowns!$B$1,I155=Dropdowns!$B$2),1,0)</f>
        <v/>
      </c>
      <c r="AE155" s="122">
        <f>SUM(Y155:AD155)</f>
        <v/>
      </c>
      <c r="AF155" s="122" t="n"/>
      <c r="AG155" s="122">
        <f>IF(OR(J155=Dropdowns!$B$1,J155=Dropdowns!$B$2),1,0)</f>
        <v/>
      </c>
      <c r="AH155" s="122">
        <f>IF(OR(K155=Dropdowns!$B$1,K155=Dropdowns!$B$2),1,0)</f>
        <v/>
      </c>
      <c r="AI155" s="122">
        <f>IF(OR(L155=Dropdowns!$B$1,L155=Dropdowns!$B$2),1,0)</f>
        <v/>
      </c>
      <c r="AJ155" s="122">
        <f>IF(OR(M155=Dropdowns!$B$1,M155=Dropdowns!$B$2),1,0)</f>
        <v/>
      </c>
      <c r="AK155" s="122">
        <f>IF(OR(N155=Dropdowns!$B$1,N155=Dropdowns!$B$2),1,0)</f>
        <v/>
      </c>
      <c r="AL155" s="122">
        <f>IF(OR(O155=Dropdowns!$B$1,O155=Dropdowns!$B$2),1,0)</f>
        <v/>
      </c>
      <c r="AM155" s="122">
        <f>IF(OR(P155=Dropdowns!$B$1,P155=Dropdowns!$B$2),1,0)</f>
        <v/>
      </c>
      <c r="AN155" s="122">
        <f>IF(OR(Q155=Dropdowns!$B$1,Q155=Dropdowns!$B$2),1,0)</f>
        <v/>
      </c>
      <c r="AO155" s="122">
        <f>IF(OR(R155=Dropdowns!$B$1,R155=Dropdowns!$B$2),1,0)</f>
        <v/>
      </c>
      <c r="AP155" s="122">
        <f>IF(OR(S155=Dropdowns!$B$1,S155=Dropdowns!$B$2),1,0)</f>
        <v/>
      </c>
      <c r="AQ155" s="120">
        <f>SUM(AG155:AP155)</f>
        <v/>
      </c>
    </row>
    <row r="156" hidden="1" outlineLevel="1" ht="65.09999999999999" customHeight="1" s="59" thickBot="1" thickTop="1">
      <c r="B156" s="187" t="n"/>
      <c r="C156" s="48" t="inlineStr">
        <is>
          <t>Notes/comments on investor alignment:</t>
        </is>
      </c>
      <c r="D156" s="26" t="n"/>
      <c r="E156" s="26" t="n"/>
      <c r="F156" s="26" t="n"/>
      <c r="G156" s="26" t="n"/>
      <c r="H156" s="26" t="n"/>
      <c r="I156" s="26" t="n"/>
      <c r="J156" s="26" t="n"/>
      <c r="K156" s="26" t="n"/>
      <c r="L156" s="26" t="n"/>
      <c r="M156" s="26" t="n"/>
      <c r="N156" s="26" t="n"/>
      <c r="O156" s="26" t="n"/>
      <c r="P156" s="26" t="n"/>
      <c r="Q156" s="26" t="n"/>
      <c r="R156" s="26" t="n"/>
      <c r="S156" s="27" t="n"/>
      <c r="U156" s="188" t="n"/>
      <c r="V156" s="188" t="n"/>
      <c r="W156" s="188" t="n"/>
      <c r="Y156" s="122" t="n"/>
      <c r="Z156" s="122" t="n"/>
      <c r="AA156" s="122" t="n"/>
      <c r="AB156" s="122" t="n"/>
      <c r="AC156" s="122" t="n"/>
      <c r="AD156" s="122" t="n"/>
      <c r="AE156" s="122" t="n"/>
      <c r="AF156" s="122" t="n"/>
      <c r="AG156" s="122">
        <f>IF(AG$9=1,AG155,0)</f>
        <v/>
      </c>
      <c r="AH156" s="122">
        <f>IF(AH$9=1,AH155,0)</f>
        <v/>
      </c>
      <c r="AI156" s="122">
        <f>IF(AI$9=1,AI155,0)</f>
        <v/>
      </c>
      <c r="AJ156" s="122">
        <f>IF(AJ$9=1,AJ155,0)</f>
        <v/>
      </c>
      <c r="AK156" s="122">
        <f>IF(AK$9=1,AK155,0)</f>
        <v/>
      </c>
      <c r="AL156" s="122">
        <f>IF(AL$9=1,AL155,0)</f>
        <v/>
      </c>
      <c r="AM156" s="122">
        <f>IF(AM$9=1,AM155,0)</f>
        <v/>
      </c>
      <c r="AN156" s="122">
        <f>IF(AN$9=1,AN155,0)</f>
        <v/>
      </c>
      <c r="AO156" s="122">
        <f>IF(AO$9=1,AO155,0)</f>
        <v/>
      </c>
      <c r="AP156" s="122">
        <f>IF(AP$9=1,AP155,0)</f>
        <v/>
      </c>
      <c r="AQ156" s="120">
        <f>SUM(AG156:AP156)</f>
        <v/>
      </c>
    </row>
    <row r="157" hidden="1" outlineLevel="1" ht="6" customHeight="1" s="59" thickBot="1">
      <c r="C157" s="51" t="n"/>
      <c r="D157" s="95" t="n"/>
      <c r="E157" s="95" t="n"/>
      <c r="F157" s="95" t="n"/>
      <c r="G157" s="95" t="n"/>
      <c r="H157" s="95" t="n"/>
      <c r="I157" s="95" t="n"/>
      <c r="J157" s="95" t="n"/>
      <c r="K157" s="95" t="n"/>
      <c r="L157" s="95" t="n"/>
      <c r="M157" s="95" t="n"/>
      <c r="N157" s="95" t="n"/>
      <c r="O157" s="95" t="n"/>
      <c r="P157" s="95" t="n"/>
      <c r="Q157" s="95" t="n"/>
      <c r="R157" s="95" t="n"/>
      <c r="S157" s="95" t="n"/>
      <c r="U157" s="35" t="n"/>
      <c r="Y157" s="122" t="inlineStr">
        <is>
          <t>D</t>
        </is>
      </c>
      <c r="Z157" s="122" t="inlineStr">
        <is>
          <t>E</t>
        </is>
      </c>
      <c r="AA157" s="122" t="inlineStr">
        <is>
          <t>F</t>
        </is>
      </c>
      <c r="AB157" s="122" t="inlineStr">
        <is>
          <t>G</t>
        </is>
      </c>
      <c r="AC157" s="122" t="inlineStr">
        <is>
          <t>H</t>
        </is>
      </c>
      <c r="AD157" s="122" t="inlineStr">
        <is>
          <t>I</t>
        </is>
      </c>
      <c r="AE157" s="122" t="inlineStr">
        <is>
          <t>Total</t>
        </is>
      </c>
      <c r="AF157" s="122" t="n"/>
      <c r="AG157" s="122" t="inlineStr">
        <is>
          <t>Very or somewhat aligned</t>
        </is>
      </c>
      <c r="AH157" s="122" t="n"/>
      <c r="AI157" s="122" t="n"/>
      <c r="AJ157" s="122" t="n"/>
      <c r="AK157" s="122" t="n"/>
      <c r="AL157" s="122" t="n"/>
      <c r="AM157" s="122" t="n"/>
      <c r="AN157" s="122" t="n"/>
      <c r="AO157" s="122" t="n"/>
      <c r="AP157" s="122" t="n"/>
      <c r="AQ157" s="122" t="n"/>
    </row>
    <row r="158" hidden="1" outlineLevel="1" ht="24.9" customHeight="1" s="59" thickBot="1" thickTop="1">
      <c r="B158" s="189" t="n"/>
      <c r="C158" s="47" t="inlineStr">
        <is>
          <t>Alignment
(dropdown menu):</t>
        </is>
      </c>
      <c r="D158" s="24" t="n"/>
      <c r="E158" s="24" t="n"/>
      <c r="F158" s="24" t="n"/>
      <c r="G158" s="24" t="n"/>
      <c r="H158" s="24" t="n"/>
      <c r="I158" s="24" t="n"/>
      <c r="J158" s="24" t="n"/>
      <c r="K158" s="24" t="n"/>
      <c r="L158" s="24" t="n"/>
      <c r="M158" s="24" t="n"/>
      <c r="N158" s="24" t="n"/>
      <c r="O158" s="24" t="n"/>
      <c r="P158" s="24" t="n"/>
      <c r="Q158" s="24" t="n"/>
      <c r="R158" s="24" t="n"/>
      <c r="S158" s="25" t="n"/>
      <c r="U158" s="155">
        <f>IF(AE158=6,"Yes","No")</f>
        <v/>
      </c>
      <c r="V158" s="156">
        <f>CONCATENATE(AQ159,"/", AQ132)</f>
        <v/>
      </c>
      <c r="W158" s="156">
        <f>CONCATENATE(AQ158,"/", "10")</f>
        <v/>
      </c>
      <c r="Y158" s="122">
        <f>IF(OR(D158=Dropdowns!$B$1,D158=Dropdowns!$B$2),1,0)</f>
        <v/>
      </c>
      <c r="Z158" s="122">
        <f>IF(OR(E158=Dropdowns!$B$1,E158=Dropdowns!$B$2),1,0)</f>
        <v/>
      </c>
      <c r="AA158" s="122">
        <f>IF(OR(F158=Dropdowns!$B$1,F158=Dropdowns!$B$2),1,0)</f>
        <v/>
      </c>
      <c r="AB158" s="122">
        <f>IF(OR(G158=Dropdowns!$B$1,G158=Dropdowns!$B$2),1,0)</f>
        <v/>
      </c>
      <c r="AC158" s="122">
        <f>IF(OR(H158=Dropdowns!$B$1,H158=Dropdowns!$B$2),1,0)</f>
        <v/>
      </c>
      <c r="AD158" s="122">
        <f>IF(OR(I158=Dropdowns!$B$1,I158=Dropdowns!$B$2),1,0)</f>
        <v/>
      </c>
      <c r="AE158" s="122">
        <f>SUM(Y158:AD158)</f>
        <v/>
      </c>
      <c r="AF158" s="122" t="n"/>
      <c r="AG158" s="122">
        <f>IF(OR(J158=Dropdowns!$B$1,J158=Dropdowns!$B$2),1,0)</f>
        <v/>
      </c>
      <c r="AH158" s="122">
        <f>IF(OR(K158=Dropdowns!$B$1,K158=Dropdowns!$B$2),1,0)</f>
        <v/>
      </c>
      <c r="AI158" s="122">
        <f>IF(OR(L158=Dropdowns!$B$1,L158=Dropdowns!$B$2),1,0)</f>
        <v/>
      </c>
      <c r="AJ158" s="122">
        <f>IF(OR(M158=Dropdowns!$B$1,M158=Dropdowns!$B$2),1,0)</f>
        <v/>
      </c>
      <c r="AK158" s="122">
        <f>IF(OR(N158=Dropdowns!$B$1,N158=Dropdowns!$B$2),1,0)</f>
        <v/>
      </c>
      <c r="AL158" s="122">
        <f>IF(OR(O158=Dropdowns!$B$1,O158=Dropdowns!$B$2),1,0)</f>
        <v/>
      </c>
      <c r="AM158" s="122">
        <f>IF(OR(P158=Dropdowns!$B$1,P158=Dropdowns!$B$2),1,0)</f>
        <v/>
      </c>
      <c r="AN158" s="122">
        <f>IF(OR(Q158=Dropdowns!$B$1,Q158=Dropdowns!$B$2),1,0)</f>
        <v/>
      </c>
      <c r="AO158" s="122">
        <f>IF(OR(R158=Dropdowns!$B$1,R158=Dropdowns!$B$2),1,0)</f>
        <v/>
      </c>
      <c r="AP158" s="122">
        <f>IF(OR(S158=Dropdowns!$B$1,S158=Dropdowns!$B$2),1,0)</f>
        <v/>
      </c>
      <c r="AQ158" s="120">
        <f>SUM(AG158:AP158)</f>
        <v/>
      </c>
    </row>
    <row r="159" hidden="1" outlineLevel="1" ht="65.09999999999999" customHeight="1" s="59" thickBot="1" thickTop="1">
      <c r="B159" s="187" t="n"/>
      <c r="C159" s="48" t="inlineStr">
        <is>
          <t>Notes/comments on investor alignment:</t>
        </is>
      </c>
      <c r="D159" s="26" t="n"/>
      <c r="E159" s="26" t="n"/>
      <c r="F159" s="26" t="n"/>
      <c r="G159" s="26" t="n"/>
      <c r="H159" s="26" t="n"/>
      <c r="I159" s="26" t="n"/>
      <c r="J159" s="26" t="n"/>
      <c r="K159" s="26" t="n"/>
      <c r="L159" s="26" t="n"/>
      <c r="M159" s="26" t="n"/>
      <c r="N159" s="26" t="n"/>
      <c r="O159" s="26" t="n"/>
      <c r="P159" s="26" t="n"/>
      <c r="Q159" s="26" t="n"/>
      <c r="R159" s="26" t="n"/>
      <c r="S159" s="27" t="n"/>
      <c r="U159" s="188" t="n"/>
      <c r="V159" s="188" t="n"/>
      <c r="W159" s="188" t="n"/>
      <c r="Y159" s="122" t="n"/>
      <c r="Z159" s="122" t="n"/>
      <c r="AA159" s="122" t="n"/>
      <c r="AB159" s="122" t="n"/>
      <c r="AC159" s="122" t="n"/>
      <c r="AD159" s="122" t="n"/>
      <c r="AE159" s="122" t="n"/>
      <c r="AF159" s="122" t="n"/>
      <c r="AG159" s="122">
        <f>IF(AG$9=1,AG158,0)</f>
        <v/>
      </c>
      <c r="AH159" s="122">
        <f>IF(AH$9=1,AH158,0)</f>
        <v/>
      </c>
      <c r="AI159" s="122">
        <f>IF(AI$9=1,AI158,0)</f>
        <v/>
      </c>
      <c r="AJ159" s="122">
        <f>IF(AJ$9=1,AJ158,0)</f>
        <v/>
      </c>
      <c r="AK159" s="122">
        <f>IF(AK$9=1,AK158,0)</f>
        <v/>
      </c>
      <c r="AL159" s="122">
        <f>IF(AL$9=1,AL158,0)</f>
        <v/>
      </c>
      <c r="AM159" s="122">
        <f>IF(AM$9=1,AM158,0)</f>
        <v/>
      </c>
      <c r="AN159" s="122">
        <f>IF(AN$9=1,AN158,0)</f>
        <v/>
      </c>
      <c r="AO159" s="122">
        <f>IF(AO$9=1,AO158,0)</f>
        <v/>
      </c>
      <c r="AP159" s="122">
        <f>IF(AP$9=1,AP158,0)</f>
        <v/>
      </c>
      <c r="AQ159" s="120">
        <f>SUM(AG159:AP159)</f>
        <v/>
      </c>
    </row>
    <row r="160" collapsed="1" ht="18" customHeight="1" s="59">
      <c r="C160" s="51" t="n"/>
      <c r="D160" s="95" t="n"/>
      <c r="E160" s="95" t="n"/>
      <c r="F160" s="95" t="n"/>
      <c r="G160" s="95" t="n"/>
      <c r="H160" s="95" t="n"/>
      <c r="I160" s="95" t="n"/>
      <c r="J160" s="95" t="n"/>
      <c r="K160" s="95" t="n"/>
      <c r="L160" s="95" t="n"/>
      <c r="M160" s="95" t="n"/>
      <c r="N160" s="95" t="n"/>
      <c r="O160" s="95" t="n"/>
      <c r="P160" s="95" t="n"/>
      <c r="Q160" s="95" t="n"/>
      <c r="R160" s="95" t="n"/>
      <c r="S160" s="95" t="n"/>
      <c r="U160" s="35" t="n"/>
      <c r="Y160" s="122" t="inlineStr">
        <is>
          <t>D</t>
        </is>
      </c>
      <c r="Z160" s="122" t="inlineStr">
        <is>
          <t>E</t>
        </is>
      </c>
      <c r="AA160" s="122" t="inlineStr">
        <is>
          <t>F</t>
        </is>
      </c>
      <c r="AB160" s="122" t="inlineStr">
        <is>
          <t>G</t>
        </is>
      </c>
      <c r="AC160" s="122" t="inlineStr">
        <is>
          <t>H</t>
        </is>
      </c>
      <c r="AD160" s="122" t="inlineStr">
        <is>
          <t>I</t>
        </is>
      </c>
      <c r="AE160" s="122" t="inlineStr">
        <is>
          <t>Total</t>
        </is>
      </c>
      <c r="AF160" s="122" t="n"/>
      <c r="AG160" s="122" t="inlineStr">
        <is>
          <t>Very or somewhat aligned</t>
        </is>
      </c>
      <c r="AH160" s="122" t="n"/>
      <c r="AI160" s="122" t="n"/>
      <c r="AJ160" s="122" t="n"/>
      <c r="AK160" s="122" t="n"/>
      <c r="AL160" s="122" t="n"/>
      <c r="AM160" s="122" t="n"/>
      <c r="AN160" s="122" t="n"/>
      <c r="AO160" s="122" t="n"/>
      <c r="AP160" s="122" t="n"/>
      <c r="AQ160" s="122" t="n"/>
    </row>
    <row r="161" hidden="1" outlineLevel="1" ht="24.9" customHeight="1" s="59" thickBot="1" thickTop="1">
      <c r="B161" s="189" t="n"/>
      <c r="C161" s="47" t="inlineStr">
        <is>
          <t>Alignment
(dropdown menu):</t>
        </is>
      </c>
      <c r="D161" s="24" t="n"/>
      <c r="E161" s="24" t="n"/>
      <c r="F161" s="24" t="n"/>
      <c r="G161" s="24" t="n"/>
      <c r="H161" s="24" t="n"/>
      <c r="I161" s="24" t="n"/>
      <c r="J161" s="24" t="n"/>
      <c r="K161" s="24" t="n"/>
      <c r="L161" s="24" t="n"/>
      <c r="M161" s="24" t="n"/>
      <c r="N161" s="24" t="n"/>
      <c r="O161" s="24" t="n"/>
      <c r="P161" s="24" t="n"/>
      <c r="Q161" s="24" t="n"/>
      <c r="R161" s="24" t="n"/>
      <c r="S161" s="25" t="n"/>
      <c r="U161" s="155">
        <f>IF(AE161=6,"Yes","No")</f>
        <v/>
      </c>
      <c r="V161" s="156">
        <f>CONCATENATE(AQ162,"/", AQ135)</f>
        <v/>
      </c>
      <c r="W161" s="156">
        <f>CONCATENATE(AQ161,"/", "10")</f>
        <v/>
      </c>
      <c r="Y161" s="122">
        <f>IF(OR(D161=Dropdowns!$B$1,D161=Dropdowns!$B$2),1,0)</f>
        <v/>
      </c>
      <c r="Z161" s="122">
        <f>IF(OR(E161=Dropdowns!$B$1,E161=Dropdowns!$B$2),1,0)</f>
        <v/>
      </c>
      <c r="AA161" s="122">
        <f>IF(OR(F161=Dropdowns!$B$1,F161=Dropdowns!$B$2),1,0)</f>
        <v/>
      </c>
      <c r="AB161" s="122">
        <f>IF(OR(G161=Dropdowns!$B$1,G161=Dropdowns!$B$2),1,0)</f>
        <v/>
      </c>
      <c r="AC161" s="122">
        <f>IF(OR(H161=Dropdowns!$B$1,H161=Dropdowns!$B$2),1,0)</f>
        <v/>
      </c>
      <c r="AD161" s="122">
        <f>IF(OR(I161=Dropdowns!$B$1,I161=Dropdowns!$B$2),1,0)</f>
        <v/>
      </c>
      <c r="AE161" s="122">
        <f>SUM(Y161:AD161)</f>
        <v/>
      </c>
      <c r="AF161" s="122" t="n"/>
      <c r="AG161" s="122">
        <f>IF(OR(J161=Dropdowns!$B$1,J161=Dropdowns!$B$2),1,0)</f>
        <v/>
      </c>
      <c r="AH161" s="122">
        <f>IF(OR(K161=Dropdowns!$B$1,K161=Dropdowns!$B$2),1,0)</f>
        <v/>
      </c>
      <c r="AI161" s="122">
        <f>IF(OR(L161=Dropdowns!$B$1,L161=Dropdowns!$B$2),1,0)</f>
        <v/>
      </c>
      <c r="AJ161" s="122">
        <f>IF(OR(M161=Dropdowns!$B$1,M161=Dropdowns!$B$2),1,0)</f>
        <v/>
      </c>
      <c r="AK161" s="122">
        <f>IF(OR(N161=Dropdowns!$B$1,N161=Dropdowns!$B$2),1,0)</f>
        <v/>
      </c>
      <c r="AL161" s="122">
        <f>IF(OR(O161=Dropdowns!$B$1,O161=Dropdowns!$B$2),1,0)</f>
        <v/>
      </c>
      <c r="AM161" s="122">
        <f>IF(OR(P161=Dropdowns!$B$1,P161=Dropdowns!$B$2),1,0)</f>
        <v/>
      </c>
      <c r="AN161" s="122">
        <f>IF(OR(Q161=Dropdowns!$B$1,Q161=Dropdowns!$B$2),1,0)</f>
        <v/>
      </c>
      <c r="AO161" s="122">
        <f>IF(OR(R161=Dropdowns!$B$1,R161=Dropdowns!$B$2),1,0)</f>
        <v/>
      </c>
      <c r="AP161" s="122">
        <f>IF(OR(S161=Dropdowns!$B$1,S161=Dropdowns!$B$2),1,0)</f>
        <v/>
      </c>
      <c r="AQ161" s="120">
        <f>SUM(AG161:AP161)</f>
        <v/>
      </c>
    </row>
    <row r="162" hidden="1" outlineLevel="1" ht="65.09999999999999" customHeight="1" s="59" thickBot="1" thickTop="1">
      <c r="B162" s="187" t="n"/>
      <c r="C162" s="48" t="inlineStr">
        <is>
          <t>Notes/comments on investor alignment:</t>
        </is>
      </c>
      <c r="D162" s="26" t="n"/>
      <c r="E162" s="26" t="n"/>
      <c r="F162" s="26" t="n"/>
      <c r="G162" s="26" t="n"/>
      <c r="H162" s="26" t="n"/>
      <c r="I162" s="26" t="n"/>
      <c r="J162" s="26" t="n"/>
      <c r="K162" s="26" t="n"/>
      <c r="L162" s="26" t="n"/>
      <c r="M162" s="26" t="n"/>
      <c r="N162" s="26" t="n"/>
      <c r="O162" s="26" t="n"/>
      <c r="P162" s="26" t="n"/>
      <c r="Q162" s="26" t="n"/>
      <c r="R162" s="26" t="n"/>
      <c r="S162" s="27" t="n"/>
      <c r="U162" s="188" t="n"/>
      <c r="V162" s="188" t="n"/>
      <c r="W162" s="188" t="n"/>
      <c r="Y162" s="122" t="n"/>
      <c r="Z162" s="122" t="n"/>
      <c r="AA162" s="122" t="n"/>
      <c r="AB162" s="122" t="n"/>
      <c r="AC162" s="122" t="n"/>
      <c r="AD162" s="122" t="n"/>
      <c r="AE162" s="122" t="n"/>
      <c r="AF162" s="122" t="n"/>
      <c r="AG162" s="122">
        <f>IF(AG$9=1,AG161,0)</f>
        <v/>
      </c>
      <c r="AH162" s="122">
        <f>IF(AH$9=1,AH161,0)</f>
        <v/>
      </c>
      <c r="AI162" s="122">
        <f>IF(AI$9=1,AI161,0)</f>
        <v/>
      </c>
      <c r="AJ162" s="122">
        <f>IF(AJ$9=1,AJ161,0)</f>
        <v/>
      </c>
      <c r="AK162" s="122">
        <f>IF(AK$9=1,AK161,0)</f>
        <v/>
      </c>
      <c r="AL162" s="122">
        <f>IF(AL$9=1,AL161,0)</f>
        <v/>
      </c>
      <c r="AM162" s="122">
        <f>IF(AM$9=1,AM161,0)</f>
        <v/>
      </c>
      <c r="AN162" s="122">
        <f>IF(AN$9=1,AN161,0)</f>
        <v/>
      </c>
      <c r="AO162" s="122">
        <f>IF(AO$9=1,AO161,0)</f>
        <v/>
      </c>
      <c r="AP162" s="122">
        <f>IF(AP$9=1,AP161,0)</f>
        <v/>
      </c>
      <c r="AQ162" s="120">
        <f>SUM(AG162:AP162)</f>
        <v/>
      </c>
    </row>
    <row r="163" hidden="1" outlineLevel="1" ht="6" customHeight="1" s="59" thickBot="1">
      <c r="C163" s="51" t="n"/>
      <c r="D163" s="95" t="n"/>
      <c r="E163" s="95" t="n"/>
      <c r="F163" s="95" t="n"/>
      <c r="G163" s="95" t="n"/>
      <c r="H163" s="95" t="n"/>
      <c r="I163" s="95" t="n"/>
      <c r="J163" s="95" t="n"/>
      <c r="K163" s="95" t="n"/>
      <c r="L163" s="95" t="n"/>
      <c r="M163" s="95" t="n"/>
      <c r="N163" s="95" t="n"/>
      <c r="O163" s="95" t="n"/>
      <c r="P163" s="95" t="n"/>
      <c r="Q163" s="95" t="n"/>
      <c r="R163" s="95" t="n"/>
      <c r="S163" s="95" t="n"/>
      <c r="U163" s="35" t="n"/>
      <c r="Y163" s="122" t="inlineStr">
        <is>
          <t>D</t>
        </is>
      </c>
      <c r="Z163" s="122" t="inlineStr">
        <is>
          <t>E</t>
        </is>
      </c>
      <c r="AA163" s="122" t="inlineStr">
        <is>
          <t>F</t>
        </is>
      </c>
      <c r="AB163" s="122" t="inlineStr">
        <is>
          <t>G</t>
        </is>
      </c>
      <c r="AC163" s="122" t="inlineStr">
        <is>
          <t>H</t>
        </is>
      </c>
      <c r="AD163" s="122" t="inlineStr">
        <is>
          <t>I</t>
        </is>
      </c>
      <c r="AE163" s="122" t="inlineStr">
        <is>
          <t>Total</t>
        </is>
      </c>
      <c r="AF163" s="122" t="n"/>
      <c r="AG163" s="122" t="inlineStr">
        <is>
          <t>Very or somewhat aligned</t>
        </is>
      </c>
      <c r="AH163" s="122" t="n"/>
      <c r="AI163" s="122" t="n"/>
      <c r="AJ163" s="122" t="n"/>
      <c r="AK163" s="122" t="n"/>
      <c r="AL163" s="122" t="n"/>
      <c r="AM163" s="122" t="n"/>
      <c r="AN163" s="122" t="n"/>
      <c r="AO163" s="122" t="n"/>
      <c r="AP163" s="122" t="n"/>
      <c r="AQ163" s="122" t="n"/>
    </row>
    <row r="164" hidden="1" outlineLevel="1" ht="24.9" customHeight="1" s="59" thickBot="1" thickTop="1">
      <c r="B164" s="189" t="n"/>
      <c r="C164" s="47" t="inlineStr">
        <is>
          <t>Alignment
(dropdown menu):</t>
        </is>
      </c>
      <c r="D164" s="24" t="n"/>
      <c r="E164" s="24" t="n"/>
      <c r="F164" s="24" t="n"/>
      <c r="G164" s="24" t="n"/>
      <c r="H164" s="24" t="n"/>
      <c r="I164" s="24" t="n"/>
      <c r="J164" s="24" t="n"/>
      <c r="K164" s="24" t="n"/>
      <c r="L164" s="24" t="n"/>
      <c r="M164" s="24" t="n"/>
      <c r="N164" s="24" t="n"/>
      <c r="O164" s="24" t="n"/>
      <c r="P164" s="24" t="n"/>
      <c r="Q164" s="24" t="n"/>
      <c r="R164" s="24" t="n"/>
      <c r="S164" s="25" t="n"/>
      <c r="U164" s="155">
        <f>IF(AE164=6,"Yes","No")</f>
        <v/>
      </c>
      <c r="V164" s="156">
        <f>CONCATENATE(AQ165,"/", AQ138)</f>
        <v/>
      </c>
      <c r="W164" s="156">
        <f>CONCATENATE(AQ164,"/", "10")</f>
        <v/>
      </c>
      <c r="Y164" s="122">
        <f>IF(OR(D164=Dropdowns!$B$1,D164=Dropdowns!$B$2),1,0)</f>
        <v/>
      </c>
      <c r="Z164" s="122">
        <f>IF(OR(E164=Dropdowns!$B$1,E164=Dropdowns!$B$2),1,0)</f>
        <v/>
      </c>
      <c r="AA164" s="122">
        <f>IF(OR(F164=Dropdowns!$B$1,F164=Dropdowns!$B$2),1,0)</f>
        <v/>
      </c>
      <c r="AB164" s="122">
        <f>IF(OR(G164=Dropdowns!$B$1,G164=Dropdowns!$B$2),1,0)</f>
        <v/>
      </c>
      <c r="AC164" s="122">
        <f>IF(OR(H164=Dropdowns!$B$1,H164=Dropdowns!$B$2),1,0)</f>
        <v/>
      </c>
      <c r="AD164" s="122">
        <f>IF(OR(I164=Dropdowns!$B$1,I164=Dropdowns!$B$2),1,0)</f>
        <v/>
      </c>
      <c r="AE164" s="122">
        <f>SUM(Y164:AD164)</f>
        <v/>
      </c>
      <c r="AF164" s="122" t="n"/>
      <c r="AG164" s="122">
        <f>IF(OR(J164=Dropdowns!$B$1,J164=Dropdowns!$B$2),1,0)</f>
        <v/>
      </c>
      <c r="AH164" s="122">
        <f>IF(OR(K164=Dropdowns!$B$1,K164=Dropdowns!$B$2),1,0)</f>
        <v/>
      </c>
      <c r="AI164" s="122">
        <f>IF(OR(L164=Dropdowns!$B$1,L164=Dropdowns!$B$2),1,0)</f>
        <v/>
      </c>
      <c r="AJ164" s="122">
        <f>IF(OR(M164=Dropdowns!$B$1,M164=Dropdowns!$B$2),1,0)</f>
        <v/>
      </c>
      <c r="AK164" s="122">
        <f>IF(OR(N164=Dropdowns!$B$1,N164=Dropdowns!$B$2),1,0)</f>
        <v/>
      </c>
      <c r="AL164" s="122">
        <f>IF(OR(O164=Dropdowns!$B$1,O164=Dropdowns!$B$2),1,0)</f>
        <v/>
      </c>
      <c r="AM164" s="122">
        <f>IF(OR(P164=Dropdowns!$B$1,P164=Dropdowns!$B$2),1,0)</f>
        <v/>
      </c>
      <c r="AN164" s="122">
        <f>IF(OR(Q164=Dropdowns!$B$1,Q164=Dropdowns!$B$2),1,0)</f>
        <v/>
      </c>
      <c r="AO164" s="122">
        <f>IF(OR(R164=Dropdowns!$B$1,R164=Dropdowns!$B$2),1,0)</f>
        <v/>
      </c>
      <c r="AP164" s="122">
        <f>IF(OR(S164=Dropdowns!$B$1,S164=Dropdowns!$B$2),1,0)</f>
        <v/>
      </c>
      <c r="AQ164" s="120">
        <f>SUM(AG164:AP164)</f>
        <v/>
      </c>
    </row>
    <row r="165" hidden="1" outlineLevel="1" ht="65.09999999999999" customHeight="1" s="59" thickBot="1" thickTop="1">
      <c r="B165" s="187" t="n"/>
      <c r="C165" s="48" t="inlineStr">
        <is>
          <t>Notes/comments on investor alignment:</t>
        </is>
      </c>
      <c r="D165" s="26" t="n"/>
      <c r="E165" s="26" t="n"/>
      <c r="F165" s="26" t="n"/>
      <c r="G165" s="26" t="n"/>
      <c r="H165" s="26" t="n"/>
      <c r="I165" s="26" t="n"/>
      <c r="J165" s="26" t="n"/>
      <c r="K165" s="26" t="n"/>
      <c r="L165" s="26" t="n"/>
      <c r="M165" s="26" t="n"/>
      <c r="N165" s="26" t="n"/>
      <c r="O165" s="26" t="n"/>
      <c r="P165" s="26" t="n"/>
      <c r="Q165" s="26" t="n"/>
      <c r="R165" s="26" t="n"/>
      <c r="S165" s="27" t="n"/>
      <c r="U165" s="188" t="n"/>
      <c r="V165" s="188" t="n"/>
      <c r="W165" s="188" t="n"/>
      <c r="Y165" s="122" t="n"/>
      <c r="Z165" s="122" t="n"/>
      <c r="AA165" s="122" t="n"/>
      <c r="AB165" s="122" t="n"/>
      <c r="AC165" s="122" t="n"/>
      <c r="AD165" s="122" t="n"/>
      <c r="AE165" s="122" t="n"/>
      <c r="AF165" s="122" t="n"/>
      <c r="AG165" s="122">
        <f>IF(AG$9=1,AG164,0)</f>
        <v/>
      </c>
      <c r="AH165" s="122">
        <f>IF(AH$9=1,AH164,0)</f>
        <v/>
      </c>
      <c r="AI165" s="122">
        <f>IF(AI$9=1,AI164,0)</f>
        <v/>
      </c>
      <c r="AJ165" s="122">
        <f>IF(AJ$9=1,AJ164,0)</f>
        <v/>
      </c>
      <c r="AK165" s="122">
        <f>IF(AK$9=1,AK164,0)</f>
        <v/>
      </c>
      <c r="AL165" s="122">
        <f>IF(AL$9=1,AL164,0)</f>
        <v/>
      </c>
      <c r="AM165" s="122">
        <f>IF(AM$9=1,AM164,0)</f>
        <v/>
      </c>
      <c r="AN165" s="122">
        <f>IF(AN$9=1,AN164,0)</f>
        <v/>
      </c>
      <c r="AO165" s="122">
        <f>IF(AO$9=1,AO164,0)</f>
        <v/>
      </c>
      <c r="AP165" s="122">
        <f>IF(AP$9=1,AP164,0)</f>
        <v/>
      </c>
      <c r="AQ165" s="120">
        <f>SUM(AG165:AP165)</f>
        <v/>
      </c>
    </row>
    <row r="166" hidden="1" outlineLevel="1" ht="6" customHeight="1" s="59" thickBot="1">
      <c r="C166" s="51" t="n"/>
      <c r="D166" s="95" t="n"/>
      <c r="E166" s="95" t="n"/>
      <c r="F166" s="95" t="n"/>
      <c r="G166" s="95" t="n"/>
      <c r="H166" s="95" t="n"/>
      <c r="I166" s="95" t="n"/>
      <c r="J166" s="95" t="n"/>
      <c r="K166" s="95" t="n"/>
      <c r="L166" s="95" t="n"/>
      <c r="M166" s="95" t="n"/>
      <c r="N166" s="95" t="n"/>
      <c r="O166" s="95" t="n"/>
      <c r="P166" s="95" t="n"/>
      <c r="Q166" s="95" t="n"/>
      <c r="R166" s="95" t="n"/>
      <c r="S166" s="95" t="n"/>
      <c r="U166" s="35" t="n"/>
      <c r="Y166" s="122" t="inlineStr">
        <is>
          <t>D</t>
        </is>
      </c>
      <c r="Z166" s="122" t="inlineStr">
        <is>
          <t>E</t>
        </is>
      </c>
      <c r="AA166" s="122" t="inlineStr">
        <is>
          <t>F</t>
        </is>
      </c>
      <c r="AB166" s="122" t="inlineStr">
        <is>
          <t>G</t>
        </is>
      </c>
      <c r="AC166" s="122" t="inlineStr">
        <is>
          <t>H</t>
        </is>
      </c>
      <c r="AD166" s="122" t="inlineStr">
        <is>
          <t>I</t>
        </is>
      </c>
      <c r="AE166" s="122" t="inlineStr">
        <is>
          <t>Total</t>
        </is>
      </c>
      <c r="AF166" s="122" t="n"/>
      <c r="AG166" s="122" t="inlineStr">
        <is>
          <t>Very or somewhat aligned</t>
        </is>
      </c>
      <c r="AH166" s="122" t="n"/>
      <c r="AI166" s="122" t="n"/>
      <c r="AJ166" s="122" t="n"/>
      <c r="AK166" s="122" t="n"/>
      <c r="AL166" s="122" t="n"/>
      <c r="AM166" s="122" t="n"/>
      <c r="AN166" s="122" t="n"/>
      <c r="AO166" s="122" t="n"/>
      <c r="AP166" s="122" t="n"/>
      <c r="AQ166" s="122" t="n"/>
    </row>
    <row r="167" hidden="1" outlineLevel="1" ht="24.9" customHeight="1" s="59" thickBot="1" thickTop="1">
      <c r="B167" s="189" t="n"/>
      <c r="C167" s="47" t="inlineStr">
        <is>
          <t>Alignment
(dropdown menu):</t>
        </is>
      </c>
      <c r="D167" s="24" t="n"/>
      <c r="E167" s="24" t="n"/>
      <c r="F167" s="24" t="n"/>
      <c r="G167" s="24" t="n"/>
      <c r="H167" s="24" t="n"/>
      <c r="I167" s="24" t="n"/>
      <c r="J167" s="24" t="n"/>
      <c r="K167" s="24" t="n"/>
      <c r="L167" s="24" t="n"/>
      <c r="M167" s="24" t="n"/>
      <c r="N167" s="24" t="n"/>
      <c r="O167" s="24" t="n"/>
      <c r="P167" s="24" t="n"/>
      <c r="Q167" s="24" t="n"/>
      <c r="R167" s="24" t="n"/>
      <c r="S167" s="25" t="n"/>
      <c r="U167" s="155">
        <f>IF(AE167=6,"Yes","No")</f>
        <v/>
      </c>
      <c r="V167" s="156">
        <f>CONCATENATE(AQ168,"/", AQ141)</f>
        <v/>
      </c>
      <c r="W167" s="156">
        <f>CONCATENATE(AQ167,"/", "10")</f>
        <v/>
      </c>
      <c r="Y167" s="122">
        <f>IF(OR(D167=Dropdowns!$B$1,D167=Dropdowns!$B$2),1,0)</f>
        <v/>
      </c>
      <c r="Z167" s="122">
        <f>IF(OR(E167=Dropdowns!$B$1,E167=Dropdowns!$B$2),1,0)</f>
        <v/>
      </c>
      <c r="AA167" s="122">
        <f>IF(OR(F167=Dropdowns!$B$1,F167=Dropdowns!$B$2),1,0)</f>
        <v/>
      </c>
      <c r="AB167" s="122">
        <f>IF(OR(G167=Dropdowns!$B$1,G167=Dropdowns!$B$2),1,0)</f>
        <v/>
      </c>
      <c r="AC167" s="122">
        <f>IF(OR(H167=Dropdowns!$B$1,H167=Dropdowns!$B$2),1,0)</f>
        <v/>
      </c>
      <c r="AD167" s="122">
        <f>IF(OR(I167=Dropdowns!$B$1,I167=Dropdowns!$B$2),1,0)</f>
        <v/>
      </c>
      <c r="AE167" s="122">
        <f>SUM(Y167:AD167)</f>
        <v/>
      </c>
      <c r="AF167" s="122" t="n"/>
      <c r="AG167" s="122">
        <f>IF(OR(J167=Dropdowns!$B$1,J167=Dropdowns!$B$2),1,0)</f>
        <v/>
      </c>
      <c r="AH167" s="122">
        <f>IF(OR(K167=Dropdowns!$B$1,K167=Dropdowns!$B$2),1,0)</f>
        <v/>
      </c>
      <c r="AI167" s="122">
        <f>IF(OR(L167=Dropdowns!$B$1,L167=Dropdowns!$B$2),1,0)</f>
        <v/>
      </c>
      <c r="AJ167" s="122">
        <f>IF(OR(M167=Dropdowns!$B$1,M167=Dropdowns!$B$2),1,0)</f>
        <v/>
      </c>
      <c r="AK167" s="122">
        <f>IF(OR(N167=Dropdowns!$B$1,N167=Dropdowns!$B$2),1,0)</f>
        <v/>
      </c>
      <c r="AL167" s="122">
        <f>IF(OR(O167=Dropdowns!$B$1,O167=Dropdowns!$B$2),1,0)</f>
        <v/>
      </c>
      <c r="AM167" s="122">
        <f>IF(OR(P167=Dropdowns!$B$1,P167=Dropdowns!$B$2),1,0)</f>
        <v/>
      </c>
      <c r="AN167" s="122">
        <f>IF(OR(Q167=Dropdowns!$B$1,Q167=Dropdowns!$B$2),1,0)</f>
        <v/>
      </c>
      <c r="AO167" s="122">
        <f>IF(OR(R167=Dropdowns!$B$1,R167=Dropdowns!$B$2),1,0)</f>
        <v/>
      </c>
      <c r="AP167" s="122">
        <f>IF(OR(S167=Dropdowns!$B$1,S167=Dropdowns!$B$2),1,0)</f>
        <v/>
      </c>
      <c r="AQ167" s="120">
        <f>SUM(AG167:AP167)</f>
        <v/>
      </c>
    </row>
    <row r="168" hidden="1" outlineLevel="1" ht="65.09999999999999" customHeight="1" s="59" thickBot="1" thickTop="1">
      <c r="B168" s="187" t="n"/>
      <c r="C168" s="48" t="inlineStr">
        <is>
          <t>Notes/comments on investor alignment:</t>
        </is>
      </c>
      <c r="D168" s="26" t="n"/>
      <c r="E168" s="26" t="n"/>
      <c r="F168" s="26" t="n"/>
      <c r="G168" s="26" t="n"/>
      <c r="H168" s="26" t="n"/>
      <c r="I168" s="26" t="n"/>
      <c r="J168" s="26" t="n"/>
      <c r="K168" s="26" t="n"/>
      <c r="L168" s="26" t="n"/>
      <c r="M168" s="26" t="n"/>
      <c r="N168" s="26" t="n"/>
      <c r="O168" s="26" t="n"/>
      <c r="P168" s="26" t="n"/>
      <c r="Q168" s="26" t="n"/>
      <c r="R168" s="26" t="n"/>
      <c r="S168" s="27" t="n"/>
      <c r="U168" s="188" t="n"/>
      <c r="V168" s="188" t="n"/>
      <c r="W168" s="188" t="n"/>
      <c r="Y168" s="122" t="n"/>
      <c r="Z168" s="122" t="n"/>
      <c r="AA168" s="122" t="n"/>
      <c r="AB168" s="122" t="n"/>
      <c r="AC168" s="122" t="n"/>
      <c r="AD168" s="122" t="n"/>
      <c r="AE168" s="122" t="n"/>
      <c r="AF168" s="122" t="n"/>
      <c r="AG168" s="122">
        <f>IF(AG$9=1,AG167,0)</f>
        <v/>
      </c>
      <c r="AH168" s="122">
        <f>IF(AH$9=1,AH167,0)</f>
        <v/>
      </c>
      <c r="AI168" s="122">
        <f>IF(AI$9=1,AI167,0)</f>
        <v/>
      </c>
      <c r="AJ168" s="122">
        <f>IF(AJ$9=1,AJ167,0)</f>
        <v/>
      </c>
      <c r="AK168" s="122">
        <f>IF(AK$9=1,AK167,0)</f>
        <v/>
      </c>
      <c r="AL168" s="122">
        <f>IF(AL$9=1,AL167,0)</f>
        <v/>
      </c>
      <c r="AM168" s="122">
        <f>IF(AM$9=1,AM167,0)</f>
        <v/>
      </c>
      <c r="AN168" s="122">
        <f>IF(AN$9=1,AN167,0)</f>
        <v/>
      </c>
      <c r="AO168" s="122">
        <f>IF(AO$9=1,AO167,0)</f>
        <v/>
      </c>
      <c r="AP168" s="122">
        <f>IF(AP$9=1,AP167,0)</f>
        <v/>
      </c>
      <c r="AQ168" s="120">
        <f>SUM(AG168:AP168)</f>
        <v/>
      </c>
    </row>
    <row r="169" hidden="1" outlineLevel="1" ht="6" customHeight="1" s="59" thickBot="1">
      <c r="C169" s="51" t="n"/>
      <c r="D169" s="95" t="n"/>
      <c r="E169" s="95" t="n"/>
      <c r="F169" s="95" t="n"/>
      <c r="G169" s="95" t="n"/>
      <c r="H169" s="95" t="n"/>
      <c r="I169" s="95" t="n"/>
      <c r="J169" s="95" t="n"/>
      <c r="K169" s="95" t="n"/>
      <c r="L169" s="95" t="n"/>
      <c r="M169" s="95" t="n"/>
      <c r="N169" s="95" t="n"/>
      <c r="O169" s="95" t="n"/>
      <c r="P169" s="95" t="n"/>
      <c r="Q169" s="95" t="n"/>
      <c r="R169" s="95" t="n"/>
      <c r="S169" s="95" t="n"/>
      <c r="U169" s="35" t="n"/>
      <c r="Y169" s="122" t="inlineStr">
        <is>
          <t>D</t>
        </is>
      </c>
      <c r="Z169" s="122" t="inlineStr">
        <is>
          <t>E</t>
        </is>
      </c>
      <c r="AA169" s="122" t="inlineStr">
        <is>
          <t>F</t>
        </is>
      </c>
      <c r="AB169" s="122" t="inlineStr">
        <is>
          <t>G</t>
        </is>
      </c>
      <c r="AC169" s="122" t="inlineStr">
        <is>
          <t>H</t>
        </is>
      </c>
      <c r="AD169" s="122" t="inlineStr">
        <is>
          <t>I</t>
        </is>
      </c>
      <c r="AE169" s="122" t="inlineStr">
        <is>
          <t>Total</t>
        </is>
      </c>
      <c r="AF169" s="122" t="n"/>
      <c r="AG169" s="122" t="inlineStr">
        <is>
          <t>Very or somewhat aligned</t>
        </is>
      </c>
      <c r="AH169" s="122" t="n"/>
      <c r="AI169" s="122" t="n"/>
      <c r="AJ169" s="122" t="n"/>
      <c r="AK169" s="122" t="n"/>
      <c r="AL169" s="122" t="n"/>
      <c r="AM169" s="122" t="n"/>
      <c r="AN169" s="122" t="n"/>
      <c r="AO169" s="122" t="n"/>
      <c r="AP169" s="122" t="n"/>
      <c r="AQ169" s="122" t="n"/>
    </row>
    <row r="170" hidden="1" outlineLevel="1" ht="24.9" customHeight="1" s="59" thickBot="1" thickTop="1">
      <c r="B170" s="189" t="n"/>
      <c r="C170" s="47" t="inlineStr">
        <is>
          <t>Alignment
(dropdown menu):</t>
        </is>
      </c>
      <c r="D170" s="24" t="n"/>
      <c r="E170" s="24" t="n"/>
      <c r="F170" s="24" t="n"/>
      <c r="G170" s="24" t="n"/>
      <c r="H170" s="24" t="n"/>
      <c r="I170" s="24" t="n"/>
      <c r="J170" s="24" t="n"/>
      <c r="K170" s="24" t="n"/>
      <c r="L170" s="24" t="n"/>
      <c r="M170" s="24" t="n"/>
      <c r="N170" s="24" t="n"/>
      <c r="O170" s="24" t="n"/>
      <c r="P170" s="24" t="n"/>
      <c r="Q170" s="24" t="n"/>
      <c r="R170" s="24" t="n"/>
      <c r="S170" s="25" t="n"/>
      <c r="U170" s="155">
        <f>IF(AE170=6,"Yes","No")</f>
        <v/>
      </c>
      <c r="V170" s="156">
        <f>CONCATENATE(AQ171,"/", AQ144)</f>
        <v/>
      </c>
      <c r="W170" s="156">
        <f>CONCATENATE(AQ170,"/", "10")</f>
        <v/>
      </c>
      <c r="Y170" s="122">
        <f>IF(OR(D170=Dropdowns!$B$1,D170=Dropdowns!$B$2),1,0)</f>
        <v/>
      </c>
      <c r="Z170" s="122">
        <f>IF(OR(E170=Dropdowns!$B$1,E170=Dropdowns!$B$2),1,0)</f>
        <v/>
      </c>
      <c r="AA170" s="122">
        <f>IF(OR(F170=Dropdowns!$B$1,F170=Dropdowns!$B$2),1,0)</f>
        <v/>
      </c>
      <c r="AB170" s="122">
        <f>IF(OR(G170=Dropdowns!$B$1,G170=Dropdowns!$B$2),1,0)</f>
        <v/>
      </c>
      <c r="AC170" s="122">
        <f>IF(OR(H170=Dropdowns!$B$1,H170=Dropdowns!$B$2),1,0)</f>
        <v/>
      </c>
      <c r="AD170" s="122">
        <f>IF(OR(I170=Dropdowns!$B$1,I170=Dropdowns!$B$2),1,0)</f>
        <v/>
      </c>
      <c r="AE170" s="122">
        <f>SUM(Y170:AD170)</f>
        <v/>
      </c>
      <c r="AF170" s="122" t="n"/>
      <c r="AG170" s="122">
        <f>IF(OR(J170=Dropdowns!$B$1,J170=Dropdowns!$B$2),1,0)</f>
        <v/>
      </c>
      <c r="AH170" s="122">
        <f>IF(OR(K170=Dropdowns!$B$1,K170=Dropdowns!$B$2),1,0)</f>
        <v/>
      </c>
      <c r="AI170" s="122">
        <f>IF(OR(L170=Dropdowns!$B$1,L170=Dropdowns!$B$2),1,0)</f>
        <v/>
      </c>
      <c r="AJ170" s="122">
        <f>IF(OR(M170=Dropdowns!$B$1,M170=Dropdowns!$B$2),1,0)</f>
        <v/>
      </c>
      <c r="AK170" s="122">
        <f>IF(OR(N170=Dropdowns!$B$1,N170=Dropdowns!$B$2),1,0)</f>
        <v/>
      </c>
      <c r="AL170" s="122">
        <f>IF(OR(O170=Dropdowns!$B$1,O170=Dropdowns!$B$2),1,0)</f>
        <v/>
      </c>
      <c r="AM170" s="122">
        <f>IF(OR(P170=Dropdowns!$B$1,P170=Dropdowns!$B$2),1,0)</f>
        <v/>
      </c>
      <c r="AN170" s="122">
        <f>IF(OR(Q170=Dropdowns!$B$1,Q170=Dropdowns!$B$2),1,0)</f>
        <v/>
      </c>
      <c r="AO170" s="122">
        <f>IF(OR(R170=Dropdowns!$B$1,R170=Dropdowns!$B$2),1,0)</f>
        <v/>
      </c>
      <c r="AP170" s="122">
        <f>IF(OR(S170=Dropdowns!$B$1,S170=Dropdowns!$B$2),1,0)</f>
        <v/>
      </c>
      <c r="AQ170" s="120">
        <f>SUM(AG170:AP170)</f>
        <v/>
      </c>
    </row>
    <row r="171" hidden="1" outlineLevel="1" ht="65.09999999999999" customHeight="1" s="59" thickBot="1" thickTop="1">
      <c r="B171" s="187" t="n"/>
      <c r="C171" s="48" t="inlineStr">
        <is>
          <t>Notes/comments on investor alignment:</t>
        </is>
      </c>
      <c r="D171" s="26" t="n"/>
      <c r="E171" s="26" t="n"/>
      <c r="F171" s="26" t="n"/>
      <c r="G171" s="26" t="n"/>
      <c r="H171" s="26" t="n"/>
      <c r="I171" s="26" t="n"/>
      <c r="J171" s="26" t="n"/>
      <c r="K171" s="26" t="n"/>
      <c r="L171" s="26" t="n"/>
      <c r="M171" s="26" t="n"/>
      <c r="N171" s="26" t="n"/>
      <c r="O171" s="26" t="n"/>
      <c r="P171" s="26" t="n"/>
      <c r="Q171" s="26" t="n"/>
      <c r="R171" s="26" t="n"/>
      <c r="S171" s="27" t="n"/>
      <c r="U171" s="188" t="n"/>
      <c r="V171" s="188" t="n"/>
      <c r="W171" s="188" t="n"/>
      <c r="Y171" s="122" t="n"/>
      <c r="Z171" s="122" t="n"/>
      <c r="AA171" s="122" t="n"/>
      <c r="AB171" s="122" t="n"/>
      <c r="AC171" s="122" t="n"/>
      <c r="AD171" s="122" t="n"/>
      <c r="AE171" s="122" t="n"/>
      <c r="AF171" s="122" t="n"/>
      <c r="AG171" s="122">
        <f>IF(AG$9=1,AG170,0)</f>
        <v/>
      </c>
      <c r="AH171" s="122">
        <f>IF(AH$9=1,AH170,0)</f>
        <v/>
      </c>
      <c r="AI171" s="122">
        <f>IF(AI$9=1,AI170,0)</f>
        <v/>
      </c>
      <c r="AJ171" s="122">
        <f>IF(AJ$9=1,AJ170,0)</f>
        <v/>
      </c>
      <c r="AK171" s="122">
        <f>IF(AK$9=1,AK170,0)</f>
        <v/>
      </c>
      <c r="AL171" s="122">
        <f>IF(AL$9=1,AL170,0)</f>
        <v/>
      </c>
      <c r="AM171" s="122">
        <f>IF(AM$9=1,AM170,0)</f>
        <v/>
      </c>
      <c r="AN171" s="122">
        <f>IF(AN$9=1,AN170,0)</f>
        <v/>
      </c>
      <c r="AO171" s="122">
        <f>IF(AO$9=1,AO170,0)</f>
        <v/>
      </c>
      <c r="AP171" s="122">
        <f>IF(AP$9=1,AP170,0)</f>
        <v/>
      </c>
      <c r="AQ171" s="120">
        <f>SUM(AG171:AP171)</f>
        <v/>
      </c>
    </row>
    <row r="172" hidden="1" outlineLevel="1" ht="6" customHeight="1" s="59" thickBot="1">
      <c r="C172" s="51" t="n"/>
      <c r="D172" s="95" t="n"/>
      <c r="E172" s="95" t="n"/>
      <c r="F172" s="95" t="n"/>
      <c r="G172" s="95" t="n"/>
      <c r="H172" s="95" t="n"/>
      <c r="I172" s="95" t="n"/>
      <c r="J172" s="95" t="n"/>
      <c r="K172" s="95" t="n"/>
      <c r="L172" s="95" t="n"/>
      <c r="M172" s="95" t="n"/>
      <c r="N172" s="95" t="n"/>
      <c r="O172" s="95" t="n"/>
      <c r="P172" s="95" t="n"/>
      <c r="Q172" s="95" t="n"/>
      <c r="R172" s="95" t="n"/>
      <c r="S172" s="95" t="n"/>
      <c r="U172" s="35" t="n"/>
      <c r="Y172" s="122" t="inlineStr">
        <is>
          <t>D</t>
        </is>
      </c>
      <c r="Z172" s="122" t="inlineStr">
        <is>
          <t>E</t>
        </is>
      </c>
      <c r="AA172" s="122" t="inlineStr">
        <is>
          <t>F</t>
        </is>
      </c>
      <c r="AB172" s="122" t="inlineStr">
        <is>
          <t>G</t>
        </is>
      </c>
      <c r="AC172" s="122" t="inlineStr">
        <is>
          <t>H</t>
        </is>
      </c>
      <c r="AD172" s="122" t="inlineStr">
        <is>
          <t>I</t>
        </is>
      </c>
      <c r="AE172" s="122" t="inlineStr">
        <is>
          <t>Total</t>
        </is>
      </c>
      <c r="AF172" s="122" t="n"/>
      <c r="AG172" s="122" t="inlineStr">
        <is>
          <t>Very or somewhat aligned</t>
        </is>
      </c>
      <c r="AH172" s="122" t="n"/>
      <c r="AI172" s="122" t="n"/>
      <c r="AJ172" s="122" t="n"/>
      <c r="AK172" s="122" t="n"/>
      <c r="AL172" s="122" t="n"/>
      <c r="AM172" s="122" t="n"/>
      <c r="AN172" s="122" t="n"/>
      <c r="AO172" s="122" t="n"/>
      <c r="AP172" s="122" t="n"/>
      <c r="AQ172" s="122" t="n"/>
    </row>
    <row r="173" hidden="1" outlineLevel="1" ht="24.9" customHeight="1" s="59" thickBot="1" thickTop="1">
      <c r="B173" s="189" t="n"/>
      <c r="C173" s="47" t="inlineStr">
        <is>
          <t>Alignment
(dropdown menu):</t>
        </is>
      </c>
      <c r="D173" s="24" t="n"/>
      <c r="E173" s="24" t="n"/>
      <c r="F173" s="24" t="n"/>
      <c r="G173" s="24" t="n"/>
      <c r="H173" s="24" t="n"/>
      <c r="I173" s="24" t="n"/>
      <c r="J173" s="24" t="n"/>
      <c r="K173" s="24" t="n"/>
      <c r="L173" s="24" t="n"/>
      <c r="M173" s="24" t="n"/>
      <c r="N173" s="24" t="n"/>
      <c r="O173" s="24" t="n"/>
      <c r="P173" s="24" t="n"/>
      <c r="Q173" s="24" t="n"/>
      <c r="R173" s="24" t="n"/>
      <c r="S173" s="25" t="n"/>
      <c r="U173" s="155">
        <f>IF(AE173=6,"Yes","No")</f>
        <v/>
      </c>
      <c r="V173" s="156">
        <f>CONCATENATE(AQ174,"/", AQ147)</f>
        <v/>
      </c>
      <c r="W173" s="156">
        <f>CONCATENATE(AQ173,"/", "10")</f>
        <v/>
      </c>
      <c r="Y173" s="122">
        <f>IF(OR(D173=Dropdowns!$B$1,D173=Dropdowns!$B$2),1,0)</f>
        <v/>
      </c>
      <c r="Z173" s="122">
        <f>IF(OR(E173=Dropdowns!$B$1,E173=Dropdowns!$B$2),1,0)</f>
        <v/>
      </c>
      <c r="AA173" s="122">
        <f>IF(OR(F173=Dropdowns!$B$1,F173=Dropdowns!$B$2),1,0)</f>
        <v/>
      </c>
      <c r="AB173" s="122">
        <f>IF(OR(G173=Dropdowns!$B$1,G173=Dropdowns!$B$2),1,0)</f>
        <v/>
      </c>
      <c r="AC173" s="122">
        <f>IF(OR(H173=Dropdowns!$B$1,H173=Dropdowns!$B$2),1,0)</f>
        <v/>
      </c>
      <c r="AD173" s="122">
        <f>IF(OR(I173=Dropdowns!$B$1,I173=Dropdowns!$B$2),1,0)</f>
        <v/>
      </c>
      <c r="AE173" s="122">
        <f>SUM(Y173:AD173)</f>
        <v/>
      </c>
      <c r="AF173" s="122" t="n"/>
      <c r="AG173" s="122">
        <f>IF(OR(J173=Dropdowns!$B$1,J173=Dropdowns!$B$2),1,0)</f>
        <v/>
      </c>
      <c r="AH173" s="122">
        <f>IF(OR(K173=Dropdowns!$B$1,K173=Dropdowns!$B$2),1,0)</f>
        <v/>
      </c>
      <c r="AI173" s="122">
        <f>IF(OR(L173=Dropdowns!$B$1,L173=Dropdowns!$B$2),1,0)</f>
        <v/>
      </c>
      <c r="AJ173" s="122">
        <f>IF(OR(M173=Dropdowns!$B$1,M173=Dropdowns!$B$2),1,0)</f>
        <v/>
      </c>
      <c r="AK173" s="122">
        <f>IF(OR(N173=Dropdowns!$B$1,N173=Dropdowns!$B$2),1,0)</f>
        <v/>
      </c>
      <c r="AL173" s="122">
        <f>IF(OR(O173=Dropdowns!$B$1,O173=Dropdowns!$B$2),1,0)</f>
        <v/>
      </c>
      <c r="AM173" s="122">
        <f>IF(OR(P173=Dropdowns!$B$1,P173=Dropdowns!$B$2),1,0)</f>
        <v/>
      </c>
      <c r="AN173" s="122">
        <f>IF(OR(Q173=Dropdowns!$B$1,Q173=Dropdowns!$B$2),1,0)</f>
        <v/>
      </c>
      <c r="AO173" s="122">
        <f>IF(OR(R173=Dropdowns!$B$1,R173=Dropdowns!$B$2),1,0)</f>
        <v/>
      </c>
      <c r="AP173" s="122">
        <f>IF(OR(S173=Dropdowns!$B$1,S173=Dropdowns!$B$2),1,0)</f>
        <v/>
      </c>
      <c r="AQ173" s="120">
        <f>SUM(AG173:AP173)</f>
        <v/>
      </c>
    </row>
    <row r="174" hidden="1" outlineLevel="1" ht="65.09999999999999" customHeight="1" s="59" thickBot="1" thickTop="1">
      <c r="B174" s="187" t="n"/>
      <c r="C174" s="48" t="inlineStr">
        <is>
          <t>Notes/comments on investor alignment:</t>
        </is>
      </c>
      <c r="D174" s="26" t="n"/>
      <c r="E174" s="26" t="n"/>
      <c r="F174" s="26" t="n"/>
      <c r="G174" s="26" t="n"/>
      <c r="H174" s="26" t="n"/>
      <c r="I174" s="26" t="n"/>
      <c r="J174" s="26" t="n"/>
      <c r="K174" s="26" t="n"/>
      <c r="L174" s="26" t="n"/>
      <c r="M174" s="26" t="n"/>
      <c r="N174" s="26" t="n"/>
      <c r="O174" s="26" t="n"/>
      <c r="P174" s="26" t="n"/>
      <c r="Q174" s="26" t="n"/>
      <c r="R174" s="26" t="n"/>
      <c r="S174" s="27" t="n"/>
      <c r="U174" s="188" t="n"/>
      <c r="V174" s="188" t="n"/>
      <c r="W174" s="188" t="n"/>
      <c r="Y174" s="122" t="n"/>
      <c r="Z174" s="122" t="n"/>
      <c r="AA174" s="122" t="n"/>
      <c r="AB174" s="122" t="n"/>
      <c r="AC174" s="122" t="n"/>
      <c r="AD174" s="122" t="n"/>
      <c r="AE174" s="122" t="n"/>
      <c r="AF174" s="122" t="n"/>
      <c r="AG174" s="122">
        <f>IF(AG$9=1,AG173,0)</f>
        <v/>
      </c>
      <c r="AH174" s="122">
        <f>IF(AH$9=1,AH173,0)</f>
        <v/>
      </c>
      <c r="AI174" s="122">
        <f>IF(AI$9=1,AI173,0)</f>
        <v/>
      </c>
      <c r="AJ174" s="122">
        <f>IF(AJ$9=1,AJ173,0)</f>
        <v/>
      </c>
      <c r="AK174" s="122">
        <f>IF(AK$9=1,AK173,0)</f>
        <v/>
      </c>
      <c r="AL174" s="122">
        <f>IF(AL$9=1,AL173,0)</f>
        <v/>
      </c>
      <c r="AM174" s="122">
        <f>IF(AM$9=1,AM173,0)</f>
        <v/>
      </c>
      <c r="AN174" s="122">
        <f>IF(AN$9=1,AN173,0)</f>
        <v/>
      </c>
      <c r="AO174" s="122">
        <f>IF(AO$9=1,AO173,0)</f>
        <v/>
      </c>
      <c r="AP174" s="122">
        <f>IF(AP$9=1,AP173,0)</f>
        <v/>
      </c>
      <c r="AQ174" s="120">
        <f>SUM(AG174:AP174)</f>
        <v/>
      </c>
    </row>
    <row r="175" hidden="1" outlineLevel="1" ht="6" customHeight="1" s="59" thickBot="1">
      <c r="C175" s="51" t="n"/>
      <c r="D175" s="95" t="n"/>
      <c r="E175" s="95" t="n"/>
      <c r="F175" s="95" t="n"/>
      <c r="G175" s="95" t="n"/>
      <c r="H175" s="95" t="n"/>
      <c r="I175" s="95" t="n"/>
      <c r="J175" s="95" t="n"/>
      <c r="K175" s="95" t="n"/>
      <c r="L175" s="95" t="n"/>
      <c r="M175" s="95" t="n"/>
      <c r="N175" s="95" t="n"/>
      <c r="O175" s="95" t="n"/>
      <c r="P175" s="95" t="n"/>
      <c r="Q175" s="95" t="n"/>
      <c r="R175" s="95" t="n"/>
      <c r="S175" s="95" t="n"/>
      <c r="U175" s="35" t="n"/>
      <c r="Y175" s="122" t="inlineStr">
        <is>
          <t>D</t>
        </is>
      </c>
      <c r="Z175" s="122" t="inlineStr">
        <is>
          <t>E</t>
        </is>
      </c>
      <c r="AA175" s="122" t="inlineStr">
        <is>
          <t>F</t>
        </is>
      </c>
      <c r="AB175" s="122" t="inlineStr">
        <is>
          <t>G</t>
        </is>
      </c>
      <c r="AC175" s="122" t="inlineStr">
        <is>
          <t>H</t>
        </is>
      </c>
      <c r="AD175" s="122" t="inlineStr">
        <is>
          <t>I</t>
        </is>
      </c>
      <c r="AE175" s="122" t="inlineStr">
        <is>
          <t>Total</t>
        </is>
      </c>
      <c r="AF175" s="122" t="n"/>
      <c r="AG175" s="122" t="inlineStr">
        <is>
          <t>Very or somewhat aligned</t>
        </is>
      </c>
      <c r="AH175" s="122" t="n"/>
      <c r="AI175" s="122" t="n"/>
      <c r="AJ175" s="122" t="n"/>
      <c r="AK175" s="122" t="n"/>
      <c r="AL175" s="122" t="n"/>
      <c r="AM175" s="122" t="n"/>
      <c r="AN175" s="122" t="n"/>
      <c r="AO175" s="122" t="n"/>
      <c r="AP175" s="122" t="n"/>
      <c r="AQ175" s="122" t="n"/>
    </row>
    <row r="176" hidden="1" outlineLevel="1" ht="24.9" customHeight="1" s="59" thickBot="1" thickTop="1">
      <c r="B176" s="189" t="n"/>
      <c r="C176" s="47" t="inlineStr">
        <is>
          <t>Alignment
(dropdown menu):</t>
        </is>
      </c>
      <c r="D176" s="24" t="n"/>
      <c r="E176" s="24" t="n"/>
      <c r="F176" s="24" t="n"/>
      <c r="G176" s="24" t="n"/>
      <c r="H176" s="24" t="n"/>
      <c r="I176" s="24" t="n"/>
      <c r="J176" s="24" t="n"/>
      <c r="K176" s="24" t="n"/>
      <c r="L176" s="24" t="n"/>
      <c r="M176" s="24" t="n"/>
      <c r="N176" s="24" t="n"/>
      <c r="O176" s="24" t="n"/>
      <c r="P176" s="24" t="n"/>
      <c r="Q176" s="24" t="n"/>
      <c r="R176" s="24" t="n"/>
      <c r="S176" s="25" t="n"/>
      <c r="U176" s="155">
        <f>IF(AE176=6,"Yes","No")</f>
        <v/>
      </c>
      <c r="V176" s="156">
        <f>CONCATENATE(AQ177,"/", AQ150)</f>
        <v/>
      </c>
      <c r="W176" s="156">
        <f>CONCATENATE(AQ176,"/", "10")</f>
        <v/>
      </c>
      <c r="Y176" s="122">
        <f>IF(OR(D176=Dropdowns!$B$1,D176=Dropdowns!$B$2),1,0)</f>
        <v/>
      </c>
      <c r="Z176" s="122">
        <f>IF(OR(E176=Dropdowns!$B$1,E176=Dropdowns!$B$2),1,0)</f>
        <v/>
      </c>
      <c r="AA176" s="122">
        <f>IF(OR(F176=Dropdowns!$B$1,F176=Dropdowns!$B$2),1,0)</f>
        <v/>
      </c>
      <c r="AB176" s="122">
        <f>IF(OR(G176=Dropdowns!$B$1,G176=Dropdowns!$B$2),1,0)</f>
        <v/>
      </c>
      <c r="AC176" s="122">
        <f>IF(OR(H176=Dropdowns!$B$1,H176=Dropdowns!$B$2),1,0)</f>
        <v/>
      </c>
      <c r="AD176" s="122">
        <f>IF(OR(I176=Dropdowns!$B$1,I176=Dropdowns!$B$2),1,0)</f>
        <v/>
      </c>
      <c r="AE176" s="122">
        <f>SUM(Y176:AD176)</f>
        <v/>
      </c>
      <c r="AF176" s="122" t="n"/>
      <c r="AG176" s="122">
        <f>IF(OR(J176=Dropdowns!$B$1,J176=Dropdowns!$B$2),1,0)</f>
        <v/>
      </c>
      <c r="AH176" s="122">
        <f>IF(OR(K176=Dropdowns!$B$1,K176=Dropdowns!$B$2),1,0)</f>
        <v/>
      </c>
      <c r="AI176" s="122">
        <f>IF(OR(L176=Dropdowns!$B$1,L176=Dropdowns!$B$2),1,0)</f>
        <v/>
      </c>
      <c r="AJ176" s="122">
        <f>IF(OR(M176=Dropdowns!$B$1,M176=Dropdowns!$B$2),1,0)</f>
        <v/>
      </c>
      <c r="AK176" s="122">
        <f>IF(OR(N176=Dropdowns!$B$1,N176=Dropdowns!$B$2),1,0)</f>
        <v/>
      </c>
      <c r="AL176" s="122">
        <f>IF(OR(O176=Dropdowns!$B$1,O176=Dropdowns!$B$2),1,0)</f>
        <v/>
      </c>
      <c r="AM176" s="122">
        <f>IF(OR(P176=Dropdowns!$B$1,P176=Dropdowns!$B$2),1,0)</f>
        <v/>
      </c>
      <c r="AN176" s="122">
        <f>IF(OR(Q176=Dropdowns!$B$1,Q176=Dropdowns!$B$2),1,0)</f>
        <v/>
      </c>
      <c r="AO176" s="122">
        <f>IF(OR(R176=Dropdowns!$B$1,R176=Dropdowns!$B$2),1,0)</f>
        <v/>
      </c>
      <c r="AP176" s="122">
        <f>IF(OR(S176=Dropdowns!$B$1,S176=Dropdowns!$B$2),1,0)</f>
        <v/>
      </c>
      <c r="AQ176" s="120">
        <f>SUM(AG176:AP176)</f>
        <v/>
      </c>
    </row>
    <row r="177" hidden="1" outlineLevel="1" ht="65.09999999999999" customHeight="1" s="59" thickBot="1" thickTop="1">
      <c r="B177" s="187" t="n"/>
      <c r="C177" s="48" t="inlineStr">
        <is>
          <t>Notes/comments on investor alignment:</t>
        </is>
      </c>
      <c r="D177" s="26" t="n"/>
      <c r="E177" s="26" t="n"/>
      <c r="F177" s="26" t="n"/>
      <c r="G177" s="26" t="n"/>
      <c r="H177" s="26" t="n"/>
      <c r="I177" s="26" t="n"/>
      <c r="J177" s="26" t="n"/>
      <c r="K177" s="26" t="n"/>
      <c r="L177" s="26" t="n"/>
      <c r="M177" s="26" t="n"/>
      <c r="N177" s="26" t="n"/>
      <c r="O177" s="26" t="n"/>
      <c r="P177" s="26" t="n"/>
      <c r="Q177" s="26" t="n"/>
      <c r="R177" s="26" t="n"/>
      <c r="S177" s="27" t="n"/>
      <c r="U177" s="188" t="n"/>
      <c r="V177" s="188" t="n"/>
      <c r="W177" s="188" t="n"/>
      <c r="Y177" s="122" t="n"/>
      <c r="Z177" s="122" t="n"/>
      <c r="AA177" s="122" t="n"/>
      <c r="AB177" s="122" t="n"/>
      <c r="AC177" s="122" t="n"/>
      <c r="AD177" s="122" t="n"/>
      <c r="AE177" s="122" t="n"/>
      <c r="AF177" s="122" t="n"/>
      <c r="AG177" s="122">
        <f>IF(AG$9=1,AG176,0)</f>
        <v/>
      </c>
      <c r="AH177" s="122">
        <f>IF(AH$9=1,AH176,0)</f>
        <v/>
      </c>
      <c r="AI177" s="122">
        <f>IF(AI$9=1,AI176,0)</f>
        <v/>
      </c>
      <c r="AJ177" s="122">
        <f>IF(AJ$9=1,AJ176,0)</f>
        <v/>
      </c>
      <c r="AK177" s="122">
        <f>IF(AK$9=1,AK176,0)</f>
        <v/>
      </c>
      <c r="AL177" s="122">
        <f>IF(AL$9=1,AL176,0)</f>
        <v/>
      </c>
      <c r="AM177" s="122">
        <f>IF(AM$9=1,AM176,0)</f>
        <v/>
      </c>
      <c r="AN177" s="122">
        <f>IF(AN$9=1,AN176,0)</f>
        <v/>
      </c>
      <c r="AO177" s="122">
        <f>IF(AO$9=1,AO176,0)</f>
        <v/>
      </c>
      <c r="AP177" s="122">
        <f>IF(AP$9=1,AP176,0)</f>
        <v/>
      </c>
      <c r="AQ177" s="120">
        <f>SUM(AG177:AP177)</f>
        <v/>
      </c>
    </row>
    <row r="178" hidden="1" outlineLevel="1" ht="6" customHeight="1" s="59" thickBot="1">
      <c r="C178" s="51" t="n"/>
      <c r="D178" s="95" t="n"/>
      <c r="E178" s="95" t="n"/>
      <c r="F178" s="95" t="n"/>
      <c r="G178" s="95" t="n"/>
      <c r="H178" s="95" t="n"/>
      <c r="I178" s="95" t="n"/>
      <c r="J178" s="95" t="n"/>
      <c r="K178" s="95" t="n"/>
      <c r="L178" s="95" t="n"/>
      <c r="M178" s="95" t="n"/>
      <c r="N178" s="95" t="n"/>
      <c r="O178" s="95" t="n"/>
      <c r="P178" s="95" t="n"/>
      <c r="Q178" s="95" t="n"/>
      <c r="R178" s="95" t="n"/>
      <c r="S178" s="95" t="n"/>
      <c r="U178" s="35" t="n"/>
      <c r="Y178" s="122" t="inlineStr">
        <is>
          <t>D</t>
        </is>
      </c>
      <c r="Z178" s="122" t="inlineStr">
        <is>
          <t>E</t>
        </is>
      </c>
      <c r="AA178" s="122" t="inlineStr">
        <is>
          <t>F</t>
        </is>
      </c>
      <c r="AB178" s="122" t="inlineStr">
        <is>
          <t>G</t>
        </is>
      </c>
      <c r="AC178" s="122" t="inlineStr">
        <is>
          <t>H</t>
        </is>
      </c>
      <c r="AD178" s="122" t="inlineStr">
        <is>
          <t>I</t>
        </is>
      </c>
      <c r="AE178" s="122" t="inlineStr">
        <is>
          <t>Total</t>
        </is>
      </c>
      <c r="AF178" s="122" t="n"/>
      <c r="AG178" s="122" t="inlineStr">
        <is>
          <t>Very or somewhat aligned</t>
        </is>
      </c>
      <c r="AH178" s="122" t="n"/>
      <c r="AI178" s="122" t="n"/>
      <c r="AJ178" s="122" t="n"/>
      <c r="AK178" s="122" t="n"/>
      <c r="AL178" s="122" t="n"/>
      <c r="AM178" s="122" t="n"/>
      <c r="AN178" s="122" t="n"/>
      <c r="AO178" s="122" t="n"/>
      <c r="AP178" s="122" t="n"/>
      <c r="AQ178" s="122" t="n"/>
    </row>
    <row r="179" hidden="1" outlineLevel="1" ht="24.9" customHeight="1" s="59" thickBot="1" thickTop="1">
      <c r="B179" s="189" t="n"/>
      <c r="C179" s="47" t="inlineStr">
        <is>
          <t>Alignment
(dropdown menu):</t>
        </is>
      </c>
      <c r="D179" s="24" t="n"/>
      <c r="E179" s="24" t="n"/>
      <c r="F179" s="24" t="n"/>
      <c r="G179" s="24" t="n"/>
      <c r="H179" s="24" t="n"/>
      <c r="I179" s="24" t="n"/>
      <c r="J179" s="24" t="n"/>
      <c r="K179" s="24" t="n"/>
      <c r="L179" s="24" t="n"/>
      <c r="M179" s="24" t="n"/>
      <c r="N179" s="24" t="n"/>
      <c r="O179" s="24" t="n"/>
      <c r="P179" s="24" t="n"/>
      <c r="Q179" s="24" t="n"/>
      <c r="R179" s="24" t="n"/>
      <c r="S179" s="25" t="n"/>
      <c r="U179" s="155">
        <f>IF(AE179=6,"Yes","No")</f>
        <v/>
      </c>
      <c r="V179" s="156">
        <f>CONCATENATE(AQ180,"/", AQ153)</f>
        <v/>
      </c>
      <c r="W179" s="156">
        <f>CONCATENATE(AQ179,"/", "10")</f>
        <v/>
      </c>
      <c r="Y179" s="122">
        <f>IF(OR(D179=Dropdowns!$B$1,D179=Dropdowns!$B$2),1,0)</f>
        <v/>
      </c>
      <c r="Z179" s="122">
        <f>IF(OR(E179=Dropdowns!$B$1,E179=Dropdowns!$B$2),1,0)</f>
        <v/>
      </c>
      <c r="AA179" s="122">
        <f>IF(OR(F179=Dropdowns!$B$1,F179=Dropdowns!$B$2),1,0)</f>
        <v/>
      </c>
      <c r="AB179" s="122">
        <f>IF(OR(G179=Dropdowns!$B$1,G179=Dropdowns!$B$2),1,0)</f>
        <v/>
      </c>
      <c r="AC179" s="122">
        <f>IF(OR(H179=Dropdowns!$B$1,H179=Dropdowns!$B$2),1,0)</f>
        <v/>
      </c>
      <c r="AD179" s="122">
        <f>IF(OR(I179=Dropdowns!$B$1,I179=Dropdowns!$B$2),1,0)</f>
        <v/>
      </c>
      <c r="AE179" s="122">
        <f>SUM(Y179:AD179)</f>
        <v/>
      </c>
      <c r="AF179" s="122" t="n"/>
      <c r="AG179" s="122">
        <f>IF(OR(J179=Dropdowns!$B$1,J179=Dropdowns!$B$2),1,0)</f>
        <v/>
      </c>
      <c r="AH179" s="122">
        <f>IF(OR(K179=Dropdowns!$B$1,K179=Dropdowns!$B$2),1,0)</f>
        <v/>
      </c>
      <c r="AI179" s="122">
        <f>IF(OR(L179=Dropdowns!$B$1,L179=Dropdowns!$B$2),1,0)</f>
        <v/>
      </c>
      <c r="AJ179" s="122">
        <f>IF(OR(M179=Dropdowns!$B$1,M179=Dropdowns!$B$2),1,0)</f>
        <v/>
      </c>
      <c r="AK179" s="122">
        <f>IF(OR(N179=Dropdowns!$B$1,N179=Dropdowns!$B$2),1,0)</f>
        <v/>
      </c>
      <c r="AL179" s="122">
        <f>IF(OR(O179=Dropdowns!$B$1,O179=Dropdowns!$B$2),1,0)</f>
        <v/>
      </c>
      <c r="AM179" s="122">
        <f>IF(OR(P179=Dropdowns!$B$1,P179=Dropdowns!$B$2),1,0)</f>
        <v/>
      </c>
      <c r="AN179" s="122">
        <f>IF(OR(Q179=Dropdowns!$B$1,Q179=Dropdowns!$B$2),1,0)</f>
        <v/>
      </c>
      <c r="AO179" s="122">
        <f>IF(OR(R179=Dropdowns!$B$1,R179=Dropdowns!$B$2),1,0)</f>
        <v/>
      </c>
      <c r="AP179" s="122">
        <f>IF(OR(S179=Dropdowns!$B$1,S179=Dropdowns!$B$2),1,0)</f>
        <v/>
      </c>
      <c r="AQ179" s="120">
        <f>SUM(AG179:AP179)</f>
        <v/>
      </c>
    </row>
    <row r="180" hidden="1" outlineLevel="1" ht="65.09999999999999" customHeight="1" s="59" thickBot="1" thickTop="1">
      <c r="B180" s="187" t="n"/>
      <c r="C180" s="48" t="inlineStr">
        <is>
          <t>Notes/comments on investor alignment:</t>
        </is>
      </c>
      <c r="D180" s="26" t="n"/>
      <c r="E180" s="26" t="n"/>
      <c r="F180" s="26" t="n"/>
      <c r="G180" s="26" t="n"/>
      <c r="H180" s="26" t="n"/>
      <c r="I180" s="26" t="n"/>
      <c r="J180" s="26" t="n"/>
      <c r="K180" s="26" t="n"/>
      <c r="L180" s="26" t="n"/>
      <c r="M180" s="26" t="n"/>
      <c r="N180" s="26" t="n"/>
      <c r="O180" s="26" t="n"/>
      <c r="P180" s="26" t="n"/>
      <c r="Q180" s="26" t="n"/>
      <c r="R180" s="26" t="n"/>
      <c r="S180" s="27" t="n"/>
      <c r="U180" s="188" t="n"/>
      <c r="V180" s="188" t="n"/>
      <c r="W180" s="188" t="n"/>
      <c r="Y180" s="122" t="n"/>
      <c r="Z180" s="122" t="n"/>
      <c r="AA180" s="122" t="n"/>
      <c r="AB180" s="122" t="n"/>
      <c r="AC180" s="122" t="n"/>
      <c r="AD180" s="122" t="n"/>
      <c r="AE180" s="122" t="n"/>
      <c r="AF180" s="122" t="n"/>
      <c r="AG180" s="122">
        <f>IF(AG$9=1,AG179,0)</f>
        <v/>
      </c>
      <c r="AH180" s="122">
        <f>IF(AH$9=1,AH179,0)</f>
        <v/>
      </c>
      <c r="AI180" s="122">
        <f>IF(AI$9=1,AI179,0)</f>
        <v/>
      </c>
      <c r="AJ180" s="122">
        <f>IF(AJ$9=1,AJ179,0)</f>
        <v/>
      </c>
      <c r="AK180" s="122">
        <f>IF(AK$9=1,AK179,0)</f>
        <v/>
      </c>
      <c r="AL180" s="122">
        <f>IF(AL$9=1,AL179,0)</f>
        <v/>
      </c>
      <c r="AM180" s="122">
        <f>IF(AM$9=1,AM179,0)</f>
        <v/>
      </c>
      <c r="AN180" s="122">
        <f>IF(AN$9=1,AN179,0)</f>
        <v/>
      </c>
      <c r="AO180" s="122">
        <f>IF(AO$9=1,AO179,0)</f>
        <v/>
      </c>
      <c r="AP180" s="122">
        <f>IF(AP$9=1,AP179,0)</f>
        <v/>
      </c>
      <c r="AQ180" s="120">
        <f>SUM(AG180:AP180)</f>
        <v/>
      </c>
    </row>
    <row r="181" hidden="1" outlineLevel="1" ht="6" customHeight="1" s="59" thickBot="1">
      <c r="C181" s="51" t="n"/>
      <c r="D181" s="95" t="n"/>
      <c r="E181" s="95" t="n"/>
      <c r="F181" s="95" t="n"/>
      <c r="G181" s="95" t="n"/>
      <c r="H181" s="95" t="n"/>
      <c r="I181" s="95" t="n"/>
      <c r="J181" s="95" t="n"/>
      <c r="K181" s="95" t="n"/>
      <c r="L181" s="95" t="n"/>
      <c r="M181" s="95" t="n"/>
      <c r="N181" s="95" t="n"/>
      <c r="O181" s="95" t="n"/>
      <c r="P181" s="95" t="n"/>
      <c r="Q181" s="95" t="n"/>
      <c r="R181" s="95" t="n"/>
      <c r="S181" s="95" t="n"/>
      <c r="U181" s="35" t="n"/>
      <c r="Y181" s="122" t="inlineStr">
        <is>
          <t>D</t>
        </is>
      </c>
      <c r="Z181" s="122" t="inlineStr">
        <is>
          <t>E</t>
        </is>
      </c>
      <c r="AA181" s="122" t="inlineStr">
        <is>
          <t>F</t>
        </is>
      </c>
      <c r="AB181" s="122" t="inlineStr">
        <is>
          <t>G</t>
        </is>
      </c>
      <c r="AC181" s="122" t="inlineStr">
        <is>
          <t>H</t>
        </is>
      </c>
      <c r="AD181" s="122" t="inlineStr">
        <is>
          <t>I</t>
        </is>
      </c>
      <c r="AE181" s="122" t="inlineStr">
        <is>
          <t>Total</t>
        </is>
      </c>
      <c r="AF181" s="122" t="n"/>
      <c r="AG181" s="122" t="inlineStr">
        <is>
          <t>Very or somewhat aligned</t>
        </is>
      </c>
      <c r="AH181" s="122" t="n"/>
      <c r="AI181" s="122" t="n"/>
      <c r="AJ181" s="122" t="n"/>
      <c r="AK181" s="122" t="n"/>
      <c r="AL181" s="122" t="n"/>
      <c r="AM181" s="122" t="n"/>
      <c r="AN181" s="122" t="n"/>
      <c r="AO181" s="122" t="n"/>
      <c r="AP181" s="122" t="n"/>
      <c r="AQ181" s="122" t="n"/>
    </row>
    <row r="182" hidden="1" outlineLevel="1" ht="24.9" customHeight="1" s="59" thickBot="1" thickTop="1">
      <c r="B182" s="189" t="n"/>
      <c r="C182" s="47" t="inlineStr">
        <is>
          <t>Alignment
(dropdown menu):</t>
        </is>
      </c>
      <c r="D182" s="24" t="n"/>
      <c r="E182" s="24" t="n"/>
      <c r="F182" s="24" t="n"/>
      <c r="G182" s="24" t="n"/>
      <c r="H182" s="24" t="n"/>
      <c r="I182" s="24" t="n"/>
      <c r="J182" s="24" t="n"/>
      <c r="K182" s="24" t="n"/>
      <c r="L182" s="24" t="n"/>
      <c r="M182" s="24" t="n"/>
      <c r="N182" s="24" t="n"/>
      <c r="O182" s="24" t="n"/>
      <c r="P182" s="24" t="n"/>
      <c r="Q182" s="24" t="n"/>
      <c r="R182" s="24" t="n"/>
      <c r="S182" s="25" t="n"/>
      <c r="U182" s="155">
        <f>IF(AE182=6,"Yes","No")</f>
        <v/>
      </c>
      <c r="V182" s="156">
        <f>CONCATENATE(AQ183,"/", AQ156)</f>
        <v/>
      </c>
      <c r="W182" s="156">
        <f>CONCATENATE(AQ182,"/", "10")</f>
        <v/>
      </c>
      <c r="Y182" s="122">
        <f>IF(OR(D182=Dropdowns!$B$1,D182=Dropdowns!$B$2),1,0)</f>
        <v/>
      </c>
      <c r="Z182" s="122">
        <f>IF(OR(E182=Dropdowns!$B$1,E182=Dropdowns!$B$2),1,0)</f>
        <v/>
      </c>
      <c r="AA182" s="122">
        <f>IF(OR(F182=Dropdowns!$B$1,F182=Dropdowns!$B$2),1,0)</f>
        <v/>
      </c>
      <c r="AB182" s="122">
        <f>IF(OR(G182=Dropdowns!$B$1,G182=Dropdowns!$B$2),1,0)</f>
        <v/>
      </c>
      <c r="AC182" s="122">
        <f>IF(OR(H182=Dropdowns!$B$1,H182=Dropdowns!$B$2),1,0)</f>
        <v/>
      </c>
      <c r="AD182" s="122">
        <f>IF(OR(I182=Dropdowns!$B$1,I182=Dropdowns!$B$2),1,0)</f>
        <v/>
      </c>
      <c r="AE182" s="122">
        <f>SUM(Y182:AD182)</f>
        <v/>
      </c>
      <c r="AF182" s="122" t="n"/>
      <c r="AG182" s="122">
        <f>IF(OR(J182=Dropdowns!$B$1,J182=Dropdowns!$B$2),1,0)</f>
        <v/>
      </c>
      <c r="AH182" s="122">
        <f>IF(OR(K182=Dropdowns!$B$1,K182=Dropdowns!$B$2),1,0)</f>
        <v/>
      </c>
      <c r="AI182" s="122">
        <f>IF(OR(L182=Dropdowns!$B$1,L182=Dropdowns!$B$2),1,0)</f>
        <v/>
      </c>
      <c r="AJ182" s="122">
        <f>IF(OR(M182=Dropdowns!$B$1,M182=Dropdowns!$B$2),1,0)</f>
        <v/>
      </c>
      <c r="AK182" s="122">
        <f>IF(OR(N182=Dropdowns!$B$1,N182=Dropdowns!$B$2),1,0)</f>
        <v/>
      </c>
      <c r="AL182" s="122">
        <f>IF(OR(O182=Dropdowns!$B$1,O182=Dropdowns!$B$2),1,0)</f>
        <v/>
      </c>
      <c r="AM182" s="122">
        <f>IF(OR(P182=Dropdowns!$B$1,P182=Dropdowns!$B$2),1,0)</f>
        <v/>
      </c>
      <c r="AN182" s="122">
        <f>IF(OR(Q182=Dropdowns!$B$1,Q182=Dropdowns!$B$2),1,0)</f>
        <v/>
      </c>
      <c r="AO182" s="122">
        <f>IF(OR(R182=Dropdowns!$B$1,R182=Dropdowns!$B$2),1,0)</f>
        <v/>
      </c>
      <c r="AP182" s="122">
        <f>IF(OR(S182=Dropdowns!$B$1,S182=Dropdowns!$B$2),1,0)</f>
        <v/>
      </c>
      <c r="AQ182" s="120">
        <f>SUM(AG182:AP182)</f>
        <v/>
      </c>
    </row>
    <row r="183" hidden="1" outlineLevel="1" ht="65.09999999999999" customHeight="1" s="59" thickBot="1" thickTop="1">
      <c r="B183" s="187" t="n"/>
      <c r="C183" s="48" t="inlineStr">
        <is>
          <t>Notes/comments on investor alignment:</t>
        </is>
      </c>
      <c r="D183" s="26" t="n"/>
      <c r="E183" s="26" t="n"/>
      <c r="F183" s="26" t="n"/>
      <c r="G183" s="26" t="n"/>
      <c r="H183" s="26" t="n"/>
      <c r="I183" s="26" t="n"/>
      <c r="J183" s="26" t="n"/>
      <c r="K183" s="26" t="n"/>
      <c r="L183" s="26" t="n"/>
      <c r="M183" s="26" t="n"/>
      <c r="N183" s="26" t="n"/>
      <c r="O183" s="26" t="n"/>
      <c r="P183" s="26" t="n"/>
      <c r="Q183" s="26" t="n"/>
      <c r="R183" s="26" t="n"/>
      <c r="S183" s="27" t="n"/>
      <c r="U183" s="188" t="n"/>
      <c r="V183" s="188" t="n"/>
      <c r="W183" s="188" t="n"/>
      <c r="Y183" s="122" t="n"/>
      <c r="Z183" s="122" t="n"/>
      <c r="AA183" s="122" t="n"/>
      <c r="AB183" s="122" t="n"/>
      <c r="AC183" s="122" t="n"/>
      <c r="AD183" s="122" t="n"/>
      <c r="AE183" s="122" t="n"/>
      <c r="AF183" s="122" t="n"/>
      <c r="AG183" s="122">
        <f>IF(AG$9=1,AG182,0)</f>
        <v/>
      </c>
      <c r="AH183" s="122">
        <f>IF(AH$9=1,AH182,0)</f>
        <v/>
      </c>
      <c r="AI183" s="122">
        <f>IF(AI$9=1,AI182,0)</f>
        <v/>
      </c>
      <c r="AJ183" s="122">
        <f>IF(AJ$9=1,AJ182,0)</f>
        <v/>
      </c>
      <c r="AK183" s="122">
        <f>IF(AK$9=1,AK182,0)</f>
        <v/>
      </c>
      <c r="AL183" s="122">
        <f>IF(AL$9=1,AL182,0)</f>
        <v/>
      </c>
      <c r="AM183" s="122">
        <f>IF(AM$9=1,AM182,0)</f>
        <v/>
      </c>
      <c r="AN183" s="122">
        <f>IF(AN$9=1,AN182,0)</f>
        <v/>
      </c>
      <c r="AO183" s="122">
        <f>IF(AO$9=1,AO182,0)</f>
        <v/>
      </c>
      <c r="AP183" s="122">
        <f>IF(AP$9=1,AP182,0)</f>
        <v/>
      </c>
      <c r="AQ183" s="120">
        <f>SUM(AG183:AP183)</f>
        <v/>
      </c>
    </row>
    <row r="184" hidden="1" outlineLevel="1" ht="6" customHeight="1" s="59" thickBot="1">
      <c r="C184" s="51" t="n"/>
      <c r="D184" s="95" t="n"/>
      <c r="E184" s="95" t="n"/>
      <c r="F184" s="95" t="n"/>
      <c r="G184" s="95" t="n"/>
      <c r="H184" s="95" t="n"/>
      <c r="I184" s="95" t="n"/>
      <c r="J184" s="95" t="n"/>
      <c r="K184" s="95" t="n"/>
      <c r="L184" s="95" t="n"/>
      <c r="M184" s="95" t="n"/>
      <c r="N184" s="95" t="n"/>
      <c r="O184" s="95" t="n"/>
      <c r="P184" s="95" t="n"/>
      <c r="Q184" s="95" t="n"/>
      <c r="R184" s="95" t="n"/>
      <c r="S184" s="95" t="n"/>
      <c r="U184" s="35" t="n"/>
      <c r="Y184" s="122" t="inlineStr">
        <is>
          <t>D</t>
        </is>
      </c>
      <c r="Z184" s="122" t="inlineStr">
        <is>
          <t>E</t>
        </is>
      </c>
      <c r="AA184" s="122" t="inlineStr">
        <is>
          <t>F</t>
        </is>
      </c>
      <c r="AB184" s="122" t="inlineStr">
        <is>
          <t>G</t>
        </is>
      </c>
      <c r="AC184" s="122" t="inlineStr">
        <is>
          <t>H</t>
        </is>
      </c>
      <c r="AD184" s="122" t="inlineStr">
        <is>
          <t>I</t>
        </is>
      </c>
      <c r="AE184" s="122" t="inlineStr">
        <is>
          <t>Total</t>
        </is>
      </c>
      <c r="AF184" s="122" t="n"/>
      <c r="AG184" s="122" t="inlineStr">
        <is>
          <t>Very or somewhat aligned</t>
        </is>
      </c>
      <c r="AH184" s="122" t="n"/>
      <c r="AI184" s="122" t="n"/>
      <c r="AJ184" s="122" t="n"/>
      <c r="AK184" s="122" t="n"/>
      <c r="AL184" s="122" t="n"/>
      <c r="AM184" s="122" t="n"/>
      <c r="AN184" s="122" t="n"/>
      <c r="AO184" s="122" t="n"/>
      <c r="AP184" s="122" t="n"/>
      <c r="AQ184" s="122" t="n"/>
    </row>
    <row r="185" hidden="1" outlineLevel="1" ht="24.9" customHeight="1" s="59" thickBot="1" thickTop="1">
      <c r="B185" s="189" t="n"/>
      <c r="C185" s="47" t="inlineStr">
        <is>
          <t>Alignment
(dropdown menu):</t>
        </is>
      </c>
      <c r="D185" s="24" t="n"/>
      <c r="E185" s="24" t="n"/>
      <c r="F185" s="24" t="n"/>
      <c r="G185" s="24" t="n"/>
      <c r="H185" s="24" t="n"/>
      <c r="I185" s="24" t="n"/>
      <c r="J185" s="24" t="n"/>
      <c r="K185" s="24" t="n"/>
      <c r="L185" s="24" t="n"/>
      <c r="M185" s="24" t="n"/>
      <c r="N185" s="24" t="n"/>
      <c r="O185" s="24" t="n"/>
      <c r="P185" s="24" t="n"/>
      <c r="Q185" s="24" t="n"/>
      <c r="R185" s="24" t="n"/>
      <c r="S185" s="25" t="n"/>
      <c r="U185" s="155">
        <f>IF(AE185=6,"Yes","No")</f>
        <v/>
      </c>
      <c r="V185" s="156">
        <f>CONCATENATE(AQ186,"/", AQ159)</f>
        <v/>
      </c>
      <c r="W185" s="156">
        <f>CONCATENATE(AQ185,"/", "10")</f>
        <v/>
      </c>
      <c r="Y185" s="122">
        <f>IF(OR(D185=Dropdowns!$B$1,D185=Dropdowns!$B$2),1,0)</f>
        <v/>
      </c>
      <c r="Z185" s="122">
        <f>IF(OR(E185=Dropdowns!$B$1,E185=Dropdowns!$B$2),1,0)</f>
        <v/>
      </c>
      <c r="AA185" s="122">
        <f>IF(OR(F185=Dropdowns!$B$1,F185=Dropdowns!$B$2),1,0)</f>
        <v/>
      </c>
      <c r="AB185" s="122">
        <f>IF(OR(G185=Dropdowns!$B$1,G185=Dropdowns!$B$2),1,0)</f>
        <v/>
      </c>
      <c r="AC185" s="122">
        <f>IF(OR(H185=Dropdowns!$B$1,H185=Dropdowns!$B$2),1,0)</f>
        <v/>
      </c>
      <c r="AD185" s="122">
        <f>IF(OR(I185=Dropdowns!$B$1,I185=Dropdowns!$B$2),1,0)</f>
        <v/>
      </c>
      <c r="AE185" s="122">
        <f>SUM(Y185:AD185)</f>
        <v/>
      </c>
      <c r="AF185" s="122" t="n"/>
      <c r="AG185" s="122">
        <f>IF(OR(J185=Dropdowns!$B$1,J185=Dropdowns!$B$2),1,0)</f>
        <v/>
      </c>
      <c r="AH185" s="122">
        <f>IF(OR(K185=Dropdowns!$B$1,K185=Dropdowns!$B$2),1,0)</f>
        <v/>
      </c>
      <c r="AI185" s="122">
        <f>IF(OR(L185=Dropdowns!$B$1,L185=Dropdowns!$B$2),1,0)</f>
        <v/>
      </c>
      <c r="AJ185" s="122">
        <f>IF(OR(M185=Dropdowns!$B$1,M185=Dropdowns!$B$2),1,0)</f>
        <v/>
      </c>
      <c r="AK185" s="122">
        <f>IF(OR(N185=Dropdowns!$B$1,N185=Dropdowns!$B$2),1,0)</f>
        <v/>
      </c>
      <c r="AL185" s="122">
        <f>IF(OR(O185=Dropdowns!$B$1,O185=Dropdowns!$B$2),1,0)</f>
        <v/>
      </c>
      <c r="AM185" s="122">
        <f>IF(OR(P185=Dropdowns!$B$1,P185=Dropdowns!$B$2),1,0)</f>
        <v/>
      </c>
      <c r="AN185" s="122">
        <f>IF(OR(Q185=Dropdowns!$B$1,Q185=Dropdowns!$B$2),1,0)</f>
        <v/>
      </c>
      <c r="AO185" s="122">
        <f>IF(OR(R185=Dropdowns!$B$1,R185=Dropdowns!$B$2),1,0)</f>
        <v/>
      </c>
      <c r="AP185" s="122">
        <f>IF(OR(S185=Dropdowns!$B$1,S185=Dropdowns!$B$2),1,0)</f>
        <v/>
      </c>
      <c r="AQ185" s="120">
        <f>SUM(AG185:AP185)</f>
        <v/>
      </c>
    </row>
    <row r="186" hidden="1" outlineLevel="1" ht="65.09999999999999" customHeight="1" s="59" thickBot="1" thickTop="1">
      <c r="B186" s="187" t="n"/>
      <c r="C186" s="48" t="inlineStr">
        <is>
          <t>Notes/comments on investor alignment:</t>
        </is>
      </c>
      <c r="D186" s="26" t="n"/>
      <c r="E186" s="26" t="n"/>
      <c r="F186" s="26" t="n"/>
      <c r="G186" s="26" t="n"/>
      <c r="H186" s="26" t="n"/>
      <c r="I186" s="26" t="n"/>
      <c r="J186" s="26" t="n"/>
      <c r="K186" s="26" t="n"/>
      <c r="L186" s="26" t="n"/>
      <c r="M186" s="26" t="n"/>
      <c r="N186" s="26" t="n"/>
      <c r="O186" s="26" t="n"/>
      <c r="P186" s="26" t="n"/>
      <c r="Q186" s="26" t="n"/>
      <c r="R186" s="26" t="n"/>
      <c r="S186" s="27" t="n"/>
      <c r="U186" s="188" t="n"/>
      <c r="V186" s="188" t="n"/>
      <c r="W186" s="188" t="n"/>
      <c r="Y186" s="122" t="n"/>
      <c r="Z186" s="122" t="n"/>
      <c r="AA186" s="122" t="n"/>
      <c r="AB186" s="122" t="n"/>
      <c r="AC186" s="122" t="n"/>
      <c r="AD186" s="122" t="n"/>
      <c r="AE186" s="122" t="n"/>
      <c r="AF186" s="122" t="n"/>
      <c r="AG186" s="122">
        <f>IF(AG$9=1,AG185,0)</f>
        <v/>
      </c>
      <c r="AH186" s="122">
        <f>IF(AH$9=1,AH185,0)</f>
        <v/>
      </c>
      <c r="AI186" s="122">
        <f>IF(AI$9=1,AI185,0)</f>
        <v/>
      </c>
      <c r="AJ186" s="122">
        <f>IF(AJ$9=1,AJ185,0)</f>
        <v/>
      </c>
      <c r="AK186" s="122">
        <f>IF(AK$9=1,AK185,0)</f>
        <v/>
      </c>
      <c r="AL186" s="122">
        <f>IF(AL$9=1,AL185,0)</f>
        <v/>
      </c>
      <c r="AM186" s="122">
        <f>IF(AM$9=1,AM185,0)</f>
        <v/>
      </c>
      <c r="AN186" s="122">
        <f>IF(AN$9=1,AN185,0)</f>
        <v/>
      </c>
      <c r="AO186" s="122">
        <f>IF(AO$9=1,AO185,0)</f>
        <v/>
      </c>
      <c r="AP186" s="122">
        <f>IF(AP$9=1,AP185,0)</f>
        <v/>
      </c>
      <c r="AQ186" s="120">
        <f>SUM(AG186:AP186)</f>
        <v/>
      </c>
    </row>
    <row r="187" hidden="1" outlineLevel="1" ht="6" customHeight="1" s="59" thickBot="1">
      <c r="C187" s="51" t="n"/>
      <c r="D187" s="95" t="n"/>
      <c r="E187" s="95" t="n"/>
      <c r="F187" s="95" t="n"/>
      <c r="G187" s="95" t="n"/>
      <c r="H187" s="95" t="n"/>
      <c r="I187" s="95" t="n"/>
      <c r="J187" s="95" t="n"/>
      <c r="K187" s="95" t="n"/>
      <c r="L187" s="95" t="n"/>
      <c r="M187" s="95" t="n"/>
      <c r="N187" s="95" t="n"/>
      <c r="O187" s="95" t="n"/>
      <c r="P187" s="95" t="n"/>
      <c r="Q187" s="95" t="n"/>
      <c r="R187" s="95" t="n"/>
      <c r="S187" s="95" t="n"/>
      <c r="U187" s="35" t="n"/>
      <c r="Y187" s="122" t="inlineStr">
        <is>
          <t>D</t>
        </is>
      </c>
      <c r="Z187" s="122" t="inlineStr">
        <is>
          <t>E</t>
        </is>
      </c>
      <c r="AA187" s="122" t="inlineStr">
        <is>
          <t>F</t>
        </is>
      </c>
      <c r="AB187" s="122" t="inlineStr">
        <is>
          <t>G</t>
        </is>
      </c>
      <c r="AC187" s="122" t="inlineStr">
        <is>
          <t>H</t>
        </is>
      </c>
      <c r="AD187" s="122" t="inlineStr">
        <is>
          <t>I</t>
        </is>
      </c>
      <c r="AE187" s="122" t="inlineStr">
        <is>
          <t>Total</t>
        </is>
      </c>
      <c r="AF187" s="122" t="n"/>
      <c r="AG187" s="122" t="inlineStr">
        <is>
          <t>Very or somewhat aligned</t>
        </is>
      </c>
      <c r="AH187" s="122" t="n"/>
      <c r="AI187" s="122" t="n"/>
      <c r="AJ187" s="122" t="n"/>
      <c r="AK187" s="122" t="n"/>
      <c r="AL187" s="122" t="n"/>
      <c r="AM187" s="122" t="n"/>
      <c r="AN187" s="122" t="n"/>
      <c r="AO187" s="122" t="n"/>
      <c r="AP187" s="122" t="n"/>
      <c r="AQ187" s="122" t="n"/>
    </row>
    <row r="188" hidden="1" outlineLevel="1" ht="24.9" customHeight="1" s="59" thickBot="1" thickTop="1">
      <c r="B188" s="189" t="n"/>
      <c r="C188" s="47" t="inlineStr">
        <is>
          <t>Alignment
(dropdown menu):</t>
        </is>
      </c>
      <c r="D188" s="24" t="n"/>
      <c r="E188" s="24" t="n"/>
      <c r="F188" s="24" t="n"/>
      <c r="G188" s="24" t="n"/>
      <c r="H188" s="24" t="n"/>
      <c r="I188" s="24" t="n"/>
      <c r="J188" s="24" t="n"/>
      <c r="K188" s="24" t="n"/>
      <c r="L188" s="24" t="n"/>
      <c r="M188" s="24" t="n"/>
      <c r="N188" s="24" t="n"/>
      <c r="O188" s="24" t="n"/>
      <c r="P188" s="24" t="n"/>
      <c r="Q188" s="24" t="n"/>
      <c r="R188" s="24" t="n"/>
      <c r="S188" s="25" t="n"/>
      <c r="U188" s="155">
        <f>IF(AE188=6,"Yes","No")</f>
        <v/>
      </c>
      <c r="V188" s="156">
        <f>CONCATENATE(AQ189,"/", AQ162)</f>
        <v/>
      </c>
      <c r="W188" s="156">
        <f>CONCATENATE(AQ188,"/", "10")</f>
        <v/>
      </c>
      <c r="Y188" s="122">
        <f>IF(OR(D188=Dropdowns!$B$1,D188=Dropdowns!$B$2),1,0)</f>
        <v/>
      </c>
      <c r="Z188" s="122">
        <f>IF(OR(E188=Dropdowns!$B$1,E188=Dropdowns!$B$2),1,0)</f>
        <v/>
      </c>
      <c r="AA188" s="122">
        <f>IF(OR(F188=Dropdowns!$B$1,F188=Dropdowns!$B$2),1,0)</f>
        <v/>
      </c>
      <c r="AB188" s="122">
        <f>IF(OR(G188=Dropdowns!$B$1,G188=Dropdowns!$B$2),1,0)</f>
        <v/>
      </c>
      <c r="AC188" s="122">
        <f>IF(OR(H188=Dropdowns!$B$1,H188=Dropdowns!$B$2),1,0)</f>
        <v/>
      </c>
      <c r="AD188" s="122">
        <f>IF(OR(I188=Dropdowns!$B$1,I188=Dropdowns!$B$2),1,0)</f>
        <v/>
      </c>
      <c r="AE188" s="122">
        <f>SUM(Y188:AD188)</f>
        <v/>
      </c>
      <c r="AF188" s="122" t="n"/>
      <c r="AG188" s="122">
        <f>IF(OR(J188=Dropdowns!$B$1,J188=Dropdowns!$B$2),1,0)</f>
        <v/>
      </c>
      <c r="AH188" s="122">
        <f>IF(OR(K188=Dropdowns!$B$1,K188=Dropdowns!$B$2),1,0)</f>
        <v/>
      </c>
      <c r="AI188" s="122">
        <f>IF(OR(L188=Dropdowns!$B$1,L188=Dropdowns!$B$2),1,0)</f>
        <v/>
      </c>
      <c r="AJ188" s="122">
        <f>IF(OR(M188=Dropdowns!$B$1,M188=Dropdowns!$B$2),1,0)</f>
        <v/>
      </c>
      <c r="AK188" s="122">
        <f>IF(OR(N188=Dropdowns!$B$1,N188=Dropdowns!$B$2),1,0)</f>
        <v/>
      </c>
      <c r="AL188" s="122">
        <f>IF(OR(O188=Dropdowns!$B$1,O188=Dropdowns!$B$2),1,0)</f>
        <v/>
      </c>
      <c r="AM188" s="122">
        <f>IF(OR(P188=Dropdowns!$B$1,P188=Dropdowns!$B$2),1,0)</f>
        <v/>
      </c>
      <c r="AN188" s="122">
        <f>IF(OR(Q188=Dropdowns!$B$1,Q188=Dropdowns!$B$2),1,0)</f>
        <v/>
      </c>
      <c r="AO188" s="122">
        <f>IF(OR(R188=Dropdowns!$B$1,R188=Dropdowns!$B$2),1,0)</f>
        <v/>
      </c>
      <c r="AP188" s="122">
        <f>IF(OR(S188=Dropdowns!$B$1,S188=Dropdowns!$B$2),1,0)</f>
        <v/>
      </c>
      <c r="AQ188" s="120">
        <f>SUM(AG188:AP188)</f>
        <v/>
      </c>
    </row>
    <row r="189" hidden="1" outlineLevel="1" ht="65.09999999999999" customHeight="1" s="59" thickBot="1" thickTop="1">
      <c r="B189" s="187" t="n"/>
      <c r="C189" s="48" t="inlineStr">
        <is>
          <t>Notes/comments on investor alignment:</t>
        </is>
      </c>
      <c r="D189" s="26" t="n"/>
      <c r="E189" s="26" t="n"/>
      <c r="F189" s="26" t="n"/>
      <c r="G189" s="26" t="n"/>
      <c r="H189" s="26" t="n"/>
      <c r="I189" s="26" t="n"/>
      <c r="J189" s="26" t="n"/>
      <c r="K189" s="26" t="n"/>
      <c r="L189" s="26" t="n"/>
      <c r="M189" s="26" t="n"/>
      <c r="N189" s="26" t="n"/>
      <c r="O189" s="26" t="n"/>
      <c r="P189" s="26" t="n"/>
      <c r="Q189" s="26" t="n"/>
      <c r="R189" s="26" t="n"/>
      <c r="S189" s="27" t="n"/>
      <c r="U189" s="188" t="n"/>
      <c r="V189" s="188" t="n"/>
      <c r="W189" s="188" t="n"/>
      <c r="Y189" s="122" t="n"/>
      <c r="Z189" s="122" t="n"/>
      <c r="AA189" s="122" t="n"/>
      <c r="AB189" s="122" t="n"/>
      <c r="AC189" s="122" t="n"/>
      <c r="AD189" s="122" t="n"/>
      <c r="AE189" s="122" t="n"/>
      <c r="AF189" s="122" t="n"/>
      <c r="AG189" s="122">
        <f>IF(AG$9=1,AG188,0)</f>
        <v/>
      </c>
      <c r="AH189" s="122">
        <f>IF(AH$9=1,AH188,0)</f>
        <v/>
      </c>
      <c r="AI189" s="122">
        <f>IF(AI$9=1,AI188,0)</f>
        <v/>
      </c>
      <c r="AJ189" s="122">
        <f>IF(AJ$9=1,AJ188,0)</f>
        <v/>
      </c>
      <c r="AK189" s="122">
        <f>IF(AK$9=1,AK188,0)</f>
        <v/>
      </c>
      <c r="AL189" s="122">
        <f>IF(AL$9=1,AL188,0)</f>
        <v/>
      </c>
      <c r="AM189" s="122">
        <f>IF(AM$9=1,AM188,0)</f>
        <v/>
      </c>
      <c r="AN189" s="122">
        <f>IF(AN$9=1,AN188,0)</f>
        <v/>
      </c>
      <c r="AO189" s="122">
        <f>IF(AO$9=1,AO188,0)</f>
        <v/>
      </c>
      <c r="AP189" s="122">
        <f>IF(AP$9=1,AP188,0)</f>
        <v/>
      </c>
      <c r="AQ189" s="120">
        <f>SUM(AG189:AP189)</f>
        <v/>
      </c>
    </row>
    <row r="190" collapsed="1" s="59">
      <c r="Y190" s="122" t="n"/>
      <c r="Z190" s="122" t="n"/>
      <c r="AA190" s="122" t="n"/>
      <c r="AB190" s="122" t="n"/>
      <c r="AC190" s="122" t="n"/>
      <c r="AD190" s="122" t="n"/>
      <c r="AE190" s="122" t="n"/>
      <c r="AF190" s="122" t="n"/>
      <c r="AG190" s="122" t="n"/>
      <c r="AH190" s="122" t="n"/>
      <c r="AI190" s="122" t="n"/>
      <c r="AJ190" s="122" t="n"/>
      <c r="AK190" s="122" t="n"/>
      <c r="AL190" s="122" t="n"/>
      <c r="AM190" s="122" t="n"/>
      <c r="AN190" s="122" t="n"/>
      <c r="AO190" s="122" t="n"/>
      <c r="AP190" s="122" t="n"/>
      <c r="AQ190" s="122" t="n"/>
    </row>
    <row r="191">
      <c r="Y191" s="122" t="n"/>
      <c r="Z191" s="122" t="n"/>
      <c r="AA191" s="122" t="n"/>
      <c r="AB191" s="122" t="n"/>
      <c r="AC191" s="122" t="n"/>
      <c r="AD191" s="122" t="n"/>
      <c r="AE191" s="122" t="n"/>
      <c r="AF191" s="122" t="n"/>
      <c r="AG191" s="122" t="n"/>
      <c r="AH191" s="122" t="n"/>
      <c r="AI191" s="122" t="n"/>
      <c r="AJ191" s="122" t="n"/>
      <c r="AK191" s="122" t="n"/>
      <c r="AL191" s="122" t="n"/>
      <c r="AM191" s="122" t="n"/>
      <c r="AN191" s="122" t="n"/>
      <c r="AO191" s="122" t="n"/>
      <c r="AP191" s="122" t="n"/>
      <c r="AQ191" s="122" t="n"/>
    </row>
    <row r="192">
      <c r="Y192" s="122" t="n"/>
      <c r="Z192" s="122" t="n"/>
      <c r="AA192" s="122" t="n"/>
      <c r="AB192" s="122" t="n"/>
      <c r="AC192" s="122" t="n"/>
      <c r="AD192" s="122" t="n"/>
      <c r="AE192" s="122" t="n"/>
      <c r="AF192" s="122" t="n"/>
      <c r="AG192" s="122" t="n"/>
      <c r="AH192" s="122" t="n"/>
      <c r="AI192" s="122" t="n"/>
      <c r="AJ192" s="122" t="n"/>
      <c r="AK192" s="122" t="n"/>
      <c r="AL192" s="122" t="n"/>
      <c r="AM192" s="122" t="n"/>
      <c r="AN192" s="122" t="n"/>
      <c r="AO192" s="122" t="n"/>
      <c r="AP192" s="122" t="n"/>
      <c r="AQ192" s="122" t="n"/>
    </row>
    <row r="193">
      <c r="Y193" s="122" t="n"/>
      <c r="Z193" s="122" t="n"/>
      <c r="AA193" s="122" t="n"/>
      <c r="AB193" s="122" t="n"/>
      <c r="AC193" s="122" t="n"/>
      <c r="AD193" s="122" t="n"/>
      <c r="AE193" s="122" t="n"/>
      <c r="AF193" s="122" t="n"/>
      <c r="AG193" s="122" t="n"/>
      <c r="AH193" s="122" t="n"/>
      <c r="AI193" s="122" t="n"/>
      <c r="AJ193" s="122" t="n"/>
      <c r="AK193" s="122" t="n"/>
      <c r="AL193" s="122" t="n"/>
      <c r="AM193" s="122" t="n"/>
      <c r="AN193" s="122" t="n"/>
      <c r="AO193" s="122" t="n"/>
      <c r="AP193" s="122" t="n"/>
      <c r="AQ193" s="122" t="n"/>
    </row>
    <row r="194">
      <c r="Y194" s="122" t="n"/>
      <c r="Z194" s="122" t="n"/>
      <c r="AA194" s="122" t="n"/>
      <c r="AB194" s="122" t="n"/>
      <c r="AC194" s="122" t="n"/>
      <c r="AD194" s="122" t="n"/>
      <c r="AE194" s="122" t="n"/>
      <c r="AF194" s="122" t="n"/>
      <c r="AG194" s="122" t="n"/>
      <c r="AH194" s="122" t="n"/>
      <c r="AI194" s="122" t="n"/>
      <c r="AJ194" s="122" t="n"/>
      <c r="AK194" s="122" t="n"/>
      <c r="AL194" s="122" t="n"/>
      <c r="AM194" s="122" t="n"/>
      <c r="AN194" s="122" t="n"/>
      <c r="AO194" s="122" t="n"/>
      <c r="AP194" s="122" t="n"/>
      <c r="AQ194" s="122" t="n"/>
    </row>
    <row r="195">
      <c r="Y195" s="122" t="n"/>
      <c r="Z195" s="122" t="n"/>
      <c r="AA195" s="122" t="n"/>
      <c r="AB195" s="122" t="n"/>
      <c r="AC195" s="122" t="n"/>
      <c r="AD195" s="122" t="n"/>
      <c r="AE195" s="122" t="n"/>
      <c r="AF195" s="122" t="n"/>
      <c r="AG195" s="122" t="n"/>
      <c r="AH195" s="122" t="n"/>
      <c r="AI195" s="122" t="n"/>
      <c r="AJ195" s="122" t="n"/>
      <c r="AK195" s="122" t="n"/>
      <c r="AL195" s="122" t="n"/>
      <c r="AM195" s="122" t="n"/>
      <c r="AN195" s="122" t="n"/>
      <c r="AO195" s="122" t="n"/>
      <c r="AP195" s="122" t="n"/>
      <c r="AQ195" s="122" t="n"/>
    </row>
    <row r="196">
      <c r="Y196" s="122" t="n"/>
      <c r="Z196" s="122" t="n"/>
      <c r="AA196" s="122" t="n"/>
      <c r="AB196" s="122" t="n"/>
      <c r="AC196" s="122" t="n"/>
      <c r="AD196" s="122" t="n"/>
      <c r="AE196" s="122" t="n"/>
      <c r="AF196" s="122" t="n"/>
      <c r="AG196" s="122" t="n"/>
      <c r="AH196" s="122" t="n"/>
      <c r="AI196" s="122" t="n"/>
      <c r="AJ196" s="122" t="n"/>
      <c r="AK196" s="122" t="n"/>
      <c r="AL196" s="122" t="n"/>
      <c r="AM196" s="122" t="n"/>
      <c r="AN196" s="122" t="n"/>
      <c r="AO196" s="122" t="n"/>
      <c r="AP196" s="122" t="n"/>
      <c r="AQ196" s="122" t="n"/>
    </row>
    <row r="197">
      <c r="Y197" s="122" t="n"/>
      <c r="Z197" s="122" t="n"/>
      <c r="AA197" s="122" t="n"/>
      <c r="AB197" s="122" t="n"/>
      <c r="AC197" s="122" t="n"/>
      <c r="AD197" s="122" t="n"/>
      <c r="AE197" s="122" t="n"/>
      <c r="AF197" s="122" t="n"/>
      <c r="AG197" s="122" t="n"/>
      <c r="AH197" s="122" t="n"/>
      <c r="AI197" s="122" t="n"/>
      <c r="AJ197" s="122" t="n"/>
      <c r="AK197" s="122" t="n"/>
      <c r="AL197" s="122" t="n"/>
      <c r="AM197" s="122" t="n"/>
      <c r="AN197" s="122" t="n"/>
      <c r="AO197" s="122" t="n"/>
      <c r="AP197" s="122" t="n"/>
      <c r="AQ197" s="122" t="n"/>
    </row>
    <row r="198">
      <c r="Y198" s="89" t="n"/>
      <c r="Z198" s="89" t="n"/>
      <c r="AA198" s="89" t="n"/>
      <c r="AB198" s="89" t="n"/>
      <c r="AC198" s="89" t="n"/>
      <c r="AD198" s="89" t="n"/>
      <c r="AE198" s="89" t="n"/>
      <c r="AF198" s="89" t="n"/>
      <c r="AG198" s="89" t="n"/>
      <c r="AH198" s="89" t="n"/>
      <c r="AI198" s="89" t="n"/>
      <c r="AJ198" s="89" t="n"/>
      <c r="AK198" s="89" t="n"/>
      <c r="AL198" s="89" t="n"/>
      <c r="AM198" s="89" t="n"/>
      <c r="AN198" s="89" t="n"/>
      <c r="AO198" s="89" t="n"/>
      <c r="AP198" s="89" t="n"/>
      <c r="AQ198" s="89" t="n"/>
    </row>
    <row r="199">
      <c r="Y199" s="89" t="n"/>
      <c r="Z199" s="89" t="n"/>
      <c r="AA199" s="89" t="n"/>
      <c r="AB199" s="89" t="n"/>
      <c r="AC199" s="89" t="n"/>
      <c r="AD199" s="89" t="n"/>
      <c r="AE199" s="89" t="n"/>
      <c r="AF199" s="89" t="n"/>
      <c r="AG199" s="89" t="n"/>
      <c r="AH199" s="89" t="n"/>
      <c r="AI199" s="89" t="n"/>
      <c r="AJ199" s="89" t="n"/>
      <c r="AK199" s="89" t="n"/>
      <c r="AL199" s="89" t="n"/>
      <c r="AM199" s="89" t="n"/>
      <c r="AN199" s="89" t="n"/>
      <c r="AO199" s="89" t="n"/>
      <c r="AP199" s="89" t="n"/>
      <c r="AQ199" s="89" t="n"/>
    </row>
    <row r="200">
      <c r="Y200" s="89" t="n"/>
      <c r="Z200" s="89" t="n"/>
      <c r="AA200" s="89" t="n"/>
      <c r="AB200" s="89" t="n"/>
      <c r="AC200" s="89" t="n"/>
      <c r="AD200" s="89" t="n"/>
      <c r="AE200" s="89" t="n"/>
      <c r="AF200" s="89" t="n"/>
      <c r="AG200" s="89" t="n"/>
      <c r="AH200" s="89" t="n"/>
      <c r="AI200" s="89" t="n"/>
      <c r="AJ200" s="89" t="n"/>
      <c r="AK200" s="89" t="n"/>
      <c r="AL200" s="89" t="n"/>
      <c r="AM200" s="89" t="n"/>
      <c r="AN200" s="89" t="n"/>
      <c r="AO200" s="89" t="n"/>
      <c r="AP200" s="89" t="n"/>
      <c r="AQ200" s="89" t="n"/>
    </row>
    <row r="201">
      <c r="Y201" s="89" t="n"/>
      <c r="Z201" s="89" t="n"/>
      <c r="AA201" s="89" t="n"/>
      <c r="AB201" s="89" t="n"/>
      <c r="AC201" s="89" t="n"/>
      <c r="AD201" s="89" t="n"/>
      <c r="AE201" s="89" t="n"/>
      <c r="AF201" s="89" t="n"/>
      <c r="AG201" s="89" t="n"/>
      <c r="AH201" s="89" t="n"/>
      <c r="AI201" s="89" t="n"/>
      <c r="AJ201" s="89" t="n"/>
      <c r="AK201" s="89" t="n"/>
      <c r="AL201" s="89" t="n"/>
      <c r="AM201" s="89" t="n"/>
      <c r="AN201" s="89" t="n"/>
      <c r="AO201" s="89" t="n"/>
      <c r="AP201" s="89" t="n"/>
      <c r="AQ201" s="89" t="n"/>
    </row>
    <row r="202">
      <c r="Y202" s="89" t="n"/>
      <c r="Z202" s="89" t="n"/>
      <c r="AA202" s="89" t="n"/>
      <c r="AB202" s="89" t="n"/>
      <c r="AC202" s="89" t="n"/>
      <c r="AD202" s="89" t="n"/>
      <c r="AE202" s="89" t="n"/>
      <c r="AF202" s="89" t="n"/>
      <c r="AG202" s="89" t="n"/>
      <c r="AH202" s="89" t="n"/>
      <c r="AI202" s="89" t="n"/>
      <c r="AJ202" s="89" t="n"/>
      <c r="AK202" s="89" t="n"/>
      <c r="AL202" s="89" t="n"/>
      <c r="AM202" s="89" t="n"/>
      <c r="AN202" s="89" t="n"/>
      <c r="AO202" s="89" t="n"/>
      <c r="AP202" s="89" t="n"/>
      <c r="AQ202" s="89" t="n"/>
    </row>
    <row r="203">
      <c r="Y203" s="89" t="n"/>
      <c r="Z203" s="89" t="n"/>
      <c r="AA203" s="89" t="n"/>
      <c r="AB203" s="89" t="n"/>
      <c r="AC203" s="89" t="n"/>
      <c r="AD203" s="89" t="n"/>
      <c r="AE203" s="89" t="n"/>
      <c r="AF203" s="89" t="n"/>
      <c r="AG203" s="89" t="n"/>
      <c r="AH203" s="89" t="n"/>
      <c r="AI203" s="89" t="n"/>
      <c r="AJ203" s="89" t="n"/>
      <c r="AK203" s="89" t="n"/>
      <c r="AL203" s="89" t="n"/>
      <c r="AM203" s="89" t="n"/>
      <c r="AN203" s="89" t="n"/>
      <c r="AO203" s="89" t="n"/>
      <c r="AP203" s="89" t="n"/>
      <c r="AQ203" s="89" t="n"/>
    </row>
    <row r="204">
      <c r="Y204" s="89" t="n"/>
      <c r="Z204" s="89" t="n"/>
      <c r="AA204" s="89" t="n"/>
      <c r="AB204" s="89" t="n"/>
      <c r="AC204" s="89" t="n"/>
      <c r="AD204" s="89" t="n"/>
      <c r="AE204" s="89" t="n"/>
      <c r="AF204" s="89" t="n"/>
      <c r="AG204" s="89" t="n"/>
      <c r="AH204" s="89" t="n"/>
      <c r="AI204" s="89" t="n"/>
      <c r="AJ204" s="89" t="n"/>
      <c r="AK204" s="89" t="n"/>
      <c r="AL204" s="89" t="n"/>
      <c r="AM204" s="89" t="n"/>
      <c r="AN204" s="89" t="n"/>
      <c r="AO204" s="89" t="n"/>
      <c r="AP204" s="89" t="n"/>
      <c r="AQ204" s="89" t="n"/>
    </row>
    <row r="205">
      <c r="Y205" s="89" t="n"/>
      <c r="Z205" s="89" t="n"/>
      <c r="AA205" s="89" t="n"/>
      <c r="AB205" s="89" t="n"/>
      <c r="AC205" s="89" t="n"/>
      <c r="AD205" s="89" t="n"/>
      <c r="AE205" s="89" t="n"/>
      <c r="AF205" s="89" t="n"/>
      <c r="AG205" s="89" t="n"/>
      <c r="AH205" s="89" t="n"/>
      <c r="AI205" s="89" t="n"/>
      <c r="AJ205" s="89" t="n"/>
      <c r="AK205" s="89" t="n"/>
      <c r="AL205" s="89" t="n"/>
      <c r="AM205" s="89" t="n"/>
      <c r="AN205" s="89" t="n"/>
      <c r="AO205" s="89" t="n"/>
      <c r="AP205" s="89" t="n"/>
      <c r="AQ205" s="89" t="n"/>
    </row>
    <row r="206">
      <c r="Y206" s="89" t="n"/>
      <c r="Z206" s="89" t="n"/>
      <c r="AA206" s="89" t="n"/>
      <c r="AB206" s="89" t="n"/>
      <c r="AC206" s="89" t="n"/>
      <c r="AD206" s="89" t="n"/>
      <c r="AE206" s="89" t="n"/>
      <c r="AF206" s="89" t="n"/>
      <c r="AG206" s="89" t="n"/>
      <c r="AH206" s="89" t="n"/>
      <c r="AI206" s="89" t="n"/>
      <c r="AJ206" s="89" t="n"/>
      <c r="AK206" s="89" t="n"/>
      <c r="AL206" s="89" t="n"/>
      <c r="AM206" s="89" t="n"/>
      <c r="AN206" s="89" t="n"/>
      <c r="AO206" s="89" t="n"/>
      <c r="AP206" s="89" t="n"/>
      <c r="AQ206" s="89" t="n"/>
    </row>
    <row r="207">
      <c r="Y207" s="89" t="n"/>
      <c r="Z207" s="89" t="n"/>
      <c r="AA207" s="89" t="n"/>
      <c r="AB207" s="89" t="n"/>
      <c r="AC207" s="89" t="n"/>
      <c r="AD207" s="89" t="n"/>
      <c r="AE207" s="89" t="n"/>
      <c r="AF207" s="89" t="n"/>
      <c r="AG207" s="89" t="n"/>
      <c r="AH207" s="89" t="n"/>
      <c r="AI207" s="89" t="n"/>
      <c r="AJ207" s="89" t="n"/>
      <c r="AK207" s="89" t="n"/>
      <c r="AL207" s="89" t="n"/>
      <c r="AM207" s="89" t="n"/>
      <c r="AN207" s="89" t="n"/>
      <c r="AO207" s="89" t="n"/>
      <c r="AP207" s="89" t="n"/>
      <c r="AQ207" s="89" t="n"/>
    </row>
    <row r="208">
      <c r="Y208" s="89" t="n"/>
      <c r="Z208" s="89" t="n"/>
      <c r="AA208" s="89" t="n"/>
      <c r="AB208" s="89" t="n"/>
      <c r="AC208" s="89" t="n"/>
      <c r="AD208" s="89" t="n"/>
      <c r="AE208" s="89" t="n"/>
      <c r="AF208" s="89" t="n"/>
      <c r="AG208" s="89" t="n"/>
      <c r="AH208" s="89" t="n"/>
      <c r="AI208" s="89" t="n"/>
      <c r="AJ208" s="89" t="n"/>
      <c r="AK208" s="89" t="n"/>
      <c r="AL208" s="89" t="n"/>
      <c r="AM208" s="89" t="n"/>
      <c r="AN208" s="89" t="n"/>
      <c r="AO208" s="89" t="n"/>
      <c r="AP208" s="89" t="n"/>
      <c r="AQ208" s="89" t="n"/>
    </row>
    <row r="209">
      <c r="Y209" s="89" t="n"/>
      <c r="Z209" s="89" t="n"/>
      <c r="AA209" s="89" t="n"/>
      <c r="AB209" s="89" t="n"/>
      <c r="AC209" s="89" t="n"/>
      <c r="AD209" s="89" t="n"/>
      <c r="AE209" s="89" t="n"/>
      <c r="AF209" s="89" t="n"/>
      <c r="AG209" s="89" t="n"/>
      <c r="AH209" s="89" t="n"/>
      <c r="AI209" s="89" t="n"/>
      <c r="AJ209" s="89" t="n"/>
      <c r="AK209" s="89" t="n"/>
      <c r="AL209" s="89" t="n"/>
      <c r="AM209" s="89" t="n"/>
      <c r="AN209" s="89" t="n"/>
      <c r="AO209" s="89" t="n"/>
      <c r="AP209" s="89" t="n"/>
      <c r="AQ209" s="89" t="n"/>
    </row>
    <row r="210">
      <c r="Y210" s="89" t="n"/>
      <c r="Z210" s="89" t="n"/>
      <c r="AA210" s="89" t="n"/>
      <c r="AB210" s="89" t="n"/>
      <c r="AC210" s="89" t="n"/>
      <c r="AD210" s="89" t="n"/>
      <c r="AE210" s="89" t="n"/>
      <c r="AF210" s="89" t="n"/>
      <c r="AG210" s="89" t="n"/>
      <c r="AH210" s="89" t="n"/>
      <c r="AI210" s="89" t="n"/>
      <c r="AJ210" s="89" t="n"/>
      <c r="AK210" s="89" t="n"/>
      <c r="AL210" s="89" t="n"/>
      <c r="AM210" s="89" t="n"/>
      <c r="AN210" s="89" t="n"/>
      <c r="AO210" s="89" t="n"/>
      <c r="AP210" s="89" t="n"/>
      <c r="AQ210" s="89" t="n"/>
    </row>
    <row r="211">
      <c r="Y211" s="89" t="n"/>
      <c r="Z211" s="89" t="n"/>
      <c r="AA211" s="89" t="n"/>
      <c r="AB211" s="89" t="n"/>
      <c r="AC211" s="89" t="n"/>
      <c r="AD211" s="89" t="n"/>
      <c r="AE211" s="89" t="n"/>
      <c r="AF211" s="89" t="n"/>
      <c r="AG211" s="89" t="n"/>
      <c r="AH211" s="89" t="n"/>
      <c r="AI211" s="89" t="n"/>
      <c r="AJ211" s="89" t="n"/>
      <c r="AK211" s="89" t="n"/>
      <c r="AL211" s="89" t="n"/>
      <c r="AM211" s="89" t="n"/>
      <c r="AN211" s="89" t="n"/>
      <c r="AO211" s="89" t="n"/>
      <c r="AP211" s="89" t="n"/>
      <c r="AQ211" s="89" t="n"/>
    </row>
    <row r="212">
      <c r="Y212" s="89" t="n"/>
      <c r="Z212" s="89" t="n"/>
      <c r="AA212" s="89" t="n"/>
      <c r="AB212" s="89" t="n"/>
      <c r="AC212" s="89" t="n"/>
      <c r="AD212" s="89" t="n"/>
      <c r="AE212" s="89" t="n"/>
      <c r="AF212" s="89" t="n"/>
      <c r="AG212" s="89" t="n"/>
      <c r="AH212" s="89" t="n"/>
      <c r="AI212" s="89" t="n"/>
      <c r="AJ212" s="89" t="n"/>
      <c r="AK212" s="89" t="n"/>
      <c r="AL212" s="89" t="n"/>
      <c r="AM212" s="89" t="n"/>
      <c r="AN212" s="89" t="n"/>
      <c r="AO212" s="89" t="n"/>
      <c r="AP212" s="89" t="n"/>
      <c r="AQ212" s="89" t="n"/>
    </row>
    <row r="213">
      <c r="Y213" s="89" t="n"/>
      <c r="Z213" s="89" t="n"/>
      <c r="AA213" s="89" t="n"/>
      <c r="AB213" s="89" t="n"/>
      <c r="AC213" s="89" t="n"/>
      <c r="AD213" s="89" t="n"/>
      <c r="AE213" s="89" t="n"/>
      <c r="AF213" s="89" t="n"/>
      <c r="AG213" s="89" t="n"/>
      <c r="AH213" s="89" t="n"/>
      <c r="AI213" s="89" t="n"/>
      <c r="AJ213" s="89" t="n"/>
      <c r="AK213" s="89" t="n"/>
      <c r="AL213" s="89" t="n"/>
      <c r="AM213" s="89" t="n"/>
      <c r="AN213" s="89" t="n"/>
      <c r="AO213" s="89" t="n"/>
      <c r="AP213" s="89" t="n"/>
      <c r="AQ213" s="89" t="n"/>
    </row>
    <row r="214">
      <c r="Y214" s="89" t="n"/>
      <c r="Z214" s="89" t="n"/>
      <c r="AA214" s="89" t="n"/>
      <c r="AB214" s="89" t="n"/>
      <c r="AC214" s="89" t="n"/>
      <c r="AD214" s="89" t="n"/>
      <c r="AE214" s="89" t="n"/>
      <c r="AF214" s="89" t="n"/>
      <c r="AG214" s="89" t="n"/>
      <c r="AH214" s="89" t="n"/>
      <c r="AI214" s="89" t="n"/>
      <c r="AJ214" s="89" t="n"/>
      <c r="AK214" s="89" t="n"/>
      <c r="AL214" s="89" t="n"/>
      <c r="AM214" s="89" t="n"/>
      <c r="AN214" s="89" t="n"/>
      <c r="AO214" s="89" t="n"/>
      <c r="AP214" s="89" t="n"/>
      <c r="AQ214" s="89" t="n"/>
    </row>
    <row r="215">
      <c r="Y215" s="89" t="n"/>
      <c r="Z215" s="89" t="n"/>
      <c r="AA215" s="89" t="n"/>
      <c r="AB215" s="89" t="n"/>
      <c r="AC215" s="89" t="n"/>
      <c r="AD215" s="89" t="n"/>
      <c r="AE215" s="89" t="n"/>
      <c r="AF215" s="89" t="n"/>
      <c r="AG215" s="89" t="n"/>
      <c r="AH215" s="89" t="n"/>
      <c r="AI215" s="89" t="n"/>
      <c r="AJ215" s="89" t="n"/>
      <c r="AK215" s="89" t="n"/>
      <c r="AL215" s="89" t="n"/>
      <c r="AM215" s="89" t="n"/>
      <c r="AN215" s="89" t="n"/>
      <c r="AO215" s="89" t="n"/>
      <c r="AP215" s="89" t="n"/>
      <c r="AQ215" s="89" t="n"/>
    </row>
    <row r="216">
      <c r="Y216" s="89" t="n"/>
      <c r="Z216" s="89" t="n"/>
      <c r="AA216" s="89" t="n"/>
      <c r="AB216" s="89" t="n"/>
      <c r="AC216" s="89" t="n"/>
      <c r="AD216" s="89" t="n"/>
      <c r="AE216" s="89" t="n"/>
      <c r="AF216" s="89" t="n"/>
      <c r="AG216" s="89" t="n"/>
      <c r="AH216" s="89" t="n"/>
      <c r="AI216" s="89" t="n"/>
      <c r="AJ216" s="89" t="n"/>
      <c r="AK216" s="89" t="n"/>
      <c r="AL216" s="89" t="n"/>
      <c r="AM216" s="89" t="n"/>
      <c r="AN216" s="89" t="n"/>
      <c r="AO216" s="89" t="n"/>
      <c r="AP216" s="89" t="n"/>
      <c r="AQ216" s="89" t="n"/>
    </row>
    <row r="217">
      <c r="Y217" s="89" t="n"/>
      <c r="Z217" s="89" t="n"/>
      <c r="AA217" s="89" t="n"/>
      <c r="AB217" s="89" t="n"/>
      <c r="AC217" s="89" t="n"/>
      <c r="AD217" s="89" t="n"/>
      <c r="AE217" s="89" t="n"/>
      <c r="AF217" s="89" t="n"/>
      <c r="AG217" s="89" t="n"/>
      <c r="AH217" s="89" t="n"/>
      <c r="AI217" s="89" t="n"/>
      <c r="AJ217" s="89" t="n"/>
      <c r="AK217" s="89" t="n"/>
      <c r="AL217" s="89" t="n"/>
      <c r="AM217" s="89" t="n"/>
      <c r="AN217" s="89" t="n"/>
      <c r="AO217" s="89" t="n"/>
      <c r="AP217" s="89" t="n"/>
      <c r="AQ217" s="89" t="n"/>
    </row>
    <row r="218">
      <c r="Y218" s="89" t="n"/>
      <c r="Z218" s="89" t="n"/>
      <c r="AA218" s="89" t="n"/>
      <c r="AB218" s="89" t="n"/>
      <c r="AC218" s="89" t="n"/>
      <c r="AD218" s="89" t="n"/>
      <c r="AE218" s="89" t="n"/>
      <c r="AF218" s="89" t="n"/>
      <c r="AG218" s="89" t="n"/>
      <c r="AH218" s="89" t="n"/>
      <c r="AI218" s="89" t="n"/>
      <c r="AJ218" s="89" t="n"/>
      <c r="AK218" s="89" t="n"/>
      <c r="AL218" s="89" t="n"/>
      <c r="AM218" s="89" t="n"/>
      <c r="AN218" s="89" t="n"/>
      <c r="AO218" s="89" t="n"/>
      <c r="AP218" s="89" t="n"/>
      <c r="AQ218" s="89" t="n"/>
    </row>
    <row r="219">
      <c r="Y219" s="89" t="n"/>
      <c r="Z219" s="89" t="n"/>
      <c r="AA219" s="89" t="n"/>
      <c r="AB219" s="89" t="n"/>
      <c r="AC219" s="89" t="n"/>
      <c r="AD219" s="89" t="n"/>
      <c r="AE219" s="89" t="n"/>
      <c r="AF219" s="89" t="n"/>
      <c r="AG219" s="89" t="n"/>
      <c r="AH219" s="89" t="n"/>
      <c r="AI219" s="89" t="n"/>
      <c r="AJ219" s="89" t="n"/>
      <c r="AK219" s="89" t="n"/>
      <c r="AL219" s="89" t="n"/>
      <c r="AM219" s="89" t="n"/>
      <c r="AN219" s="89" t="n"/>
      <c r="AO219" s="89" t="n"/>
      <c r="AP219" s="89" t="n"/>
      <c r="AQ219" s="89" t="n"/>
    </row>
  </sheetData>
  <mergeCells count="254">
    <mergeCell ref="V116:V117"/>
    <mergeCell ref="U149:U150"/>
    <mergeCell ref="U158:U159"/>
    <mergeCell ref="U65:U66"/>
    <mergeCell ref="W65:W66"/>
    <mergeCell ref="U74:U75"/>
    <mergeCell ref="W158:W159"/>
    <mergeCell ref="W74:W75"/>
    <mergeCell ref="B86:B87"/>
    <mergeCell ref="B179:B180"/>
    <mergeCell ref="B152:B153"/>
    <mergeCell ref="U80:U81"/>
    <mergeCell ref="V143:V144"/>
    <mergeCell ref="V152:V153"/>
    <mergeCell ref="W89:W90"/>
    <mergeCell ref="V35:V36"/>
    <mergeCell ref="B14:B15"/>
    <mergeCell ref="B101:B102"/>
    <mergeCell ref="B29:B30"/>
    <mergeCell ref="V44:V45"/>
    <mergeCell ref="B23:B24"/>
    <mergeCell ref="B3:C7"/>
    <mergeCell ref="W104:W105"/>
    <mergeCell ref="U122:U123"/>
    <mergeCell ref="W122:W123"/>
    <mergeCell ref="U131:U132"/>
    <mergeCell ref="W131:W132"/>
    <mergeCell ref="U41:U42"/>
    <mergeCell ref="W140:W141"/>
    <mergeCell ref="W41:W42"/>
    <mergeCell ref="W50:W51"/>
    <mergeCell ref="V83:V84"/>
    <mergeCell ref="B119:B120"/>
    <mergeCell ref="U68:U69"/>
    <mergeCell ref="B128:B129"/>
    <mergeCell ref="W155:W156"/>
    <mergeCell ref="W11:W12"/>
    <mergeCell ref="B80:B81"/>
    <mergeCell ref="V128:V129"/>
    <mergeCell ref="V137:V138"/>
    <mergeCell ref="U83:U84"/>
    <mergeCell ref="D5:I5"/>
    <mergeCell ref="W170:W171"/>
    <mergeCell ref="W179:W180"/>
    <mergeCell ref="V65:V66"/>
    <mergeCell ref="V47:V48"/>
    <mergeCell ref="V134:V135"/>
    <mergeCell ref="U164:U165"/>
    <mergeCell ref="U20:U21"/>
    <mergeCell ref="W107:W108"/>
    <mergeCell ref="U29:U30"/>
    <mergeCell ref="W101:W102"/>
    <mergeCell ref="W116:W117"/>
    <mergeCell ref="B185:B186"/>
    <mergeCell ref="V62:V63"/>
    <mergeCell ref="V71:V72"/>
    <mergeCell ref="U35:U36"/>
    <mergeCell ref="U188:U189"/>
    <mergeCell ref="U44:U45"/>
    <mergeCell ref="B104:B105"/>
    <mergeCell ref="W44:W45"/>
    <mergeCell ref="B56:B57"/>
    <mergeCell ref="V164:V165"/>
    <mergeCell ref="U59:U60"/>
    <mergeCell ref="B26:B27"/>
    <mergeCell ref="B35:B36"/>
    <mergeCell ref="B140:B141"/>
    <mergeCell ref="B155:B156"/>
    <mergeCell ref="W80:W81"/>
    <mergeCell ref="V155:V156"/>
    <mergeCell ref="W143:W144"/>
    <mergeCell ref="W92:W93"/>
    <mergeCell ref="V38:V39"/>
    <mergeCell ref="B17:B18"/>
    <mergeCell ref="B77:B78"/>
    <mergeCell ref="B11:B12"/>
    <mergeCell ref="B170:B171"/>
    <mergeCell ref="V77:V78"/>
    <mergeCell ref="W167:W168"/>
    <mergeCell ref="U125:U126"/>
    <mergeCell ref="W32:W33"/>
    <mergeCell ref="U134:U135"/>
    <mergeCell ref="W185:W186"/>
    <mergeCell ref="W134:W135"/>
    <mergeCell ref="U95:U96"/>
    <mergeCell ref="W95:W96"/>
    <mergeCell ref="U47:U48"/>
    <mergeCell ref="O5:S5"/>
    <mergeCell ref="W47:W48"/>
    <mergeCell ref="U56:U57"/>
    <mergeCell ref="B116:B117"/>
    <mergeCell ref="W56:W57"/>
    <mergeCell ref="V173:V174"/>
    <mergeCell ref="U32:U33"/>
    <mergeCell ref="B143:B144"/>
    <mergeCell ref="V11:V12"/>
    <mergeCell ref="V182:V183"/>
    <mergeCell ref="B44:B45"/>
    <mergeCell ref="B53:B54"/>
    <mergeCell ref="V26:V27"/>
    <mergeCell ref="V110:V111"/>
    <mergeCell ref="V119:V120"/>
    <mergeCell ref="U152:U153"/>
    <mergeCell ref="U8:U9"/>
    <mergeCell ref="Y9:AE9"/>
    <mergeCell ref="U161:U162"/>
    <mergeCell ref="W8:W9"/>
    <mergeCell ref="W161:W162"/>
    <mergeCell ref="W17:W18"/>
    <mergeCell ref="U26:U27"/>
    <mergeCell ref="B95:B96"/>
    <mergeCell ref="V125:V126"/>
    <mergeCell ref="U89:U90"/>
    <mergeCell ref="B92:B93"/>
    <mergeCell ref="V95:V96"/>
    <mergeCell ref="U98:U99"/>
    <mergeCell ref="W98:W99"/>
    <mergeCell ref="B158:B159"/>
    <mergeCell ref="V53:V54"/>
    <mergeCell ref="B32:B33"/>
    <mergeCell ref="V158:V159"/>
    <mergeCell ref="U113:U114"/>
    <mergeCell ref="U140:U141"/>
    <mergeCell ref="B134:B135"/>
    <mergeCell ref="W68:W69"/>
    <mergeCell ref="U137:U138"/>
    <mergeCell ref="U50:U51"/>
    <mergeCell ref="U155:U156"/>
    <mergeCell ref="W53:W54"/>
    <mergeCell ref="B122:B123"/>
    <mergeCell ref="V92:V93"/>
    <mergeCell ref="U11:U12"/>
    <mergeCell ref="B71:B72"/>
    <mergeCell ref="B131:B132"/>
    <mergeCell ref="W146:W147"/>
    <mergeCell ref="V122:V123"/>
    <mergeCell ref="B1:D1"/>
    <mergeCell ref="V131:V132"/>
    <mergeCell ref="V140:V141"/>
    <mergeCell ref="U86:U87"/>
    <mergeCell ref="B8:B9"/>
    <mergeCell ref="W173:W174"/>
    <mergeCell ref="V23:V24"/>
    <mergeCell ref="U179:U180"/>
    <mergeCell ref="W182:W183"/>
    <mergeCell ref="B167:B168"/>
    <mergeCell ref="U101:U102"/>
    <mergeCell ref="U116:U117"/>
    <mergeCell ref="B161:B162"/>
    <mergeCell ref="W110:W111"/>
    <mergeCell ref="B176:B177"/>
    <mergeCell ref="V176:V177"/>
    <mergeCell ref="V170:V171"/>
    <mergeCell ref="V74:V75"/>
    <mergeCell ref="B98:B99"/>
    <mergeCell ref="D9:I9"/>
    <mergeCell ref="B107:B108"/>
    <mergeCell ref="U143:U144"/>
    <mergeCell ref="V98:V99"/>
    <mergeCell ref="V107:V108"/>
    <mergeCell ref="V89:V90"/>
    <mergeCell ref="B68:B69"/>
    <mergeCell ref="W152:W153"/>
    <mergeCell ref="U62:U63"/>
    <mergeCell ref="W149:W150"/>
    <mergeCell ref="W62:W63"/>
    <mergeCell ref="U71:U72"/>
    <mergeCell ref="U185:U186"/>
    <mergeCell ref="W71:W72"/>
    <mergeCell ref="B83:B84"/>
    <mergeCell ref="W23:W24"/>
    <mergeCell ref="V113:V114"/>
    <mergeCell ref="W86:W87"/>
    <mergeCell ref="V149:V150"/>
    <mergeCell ref="B146:B147"/>
    <mergeCell ref="B164:B165"/>
    <mergeCell ref="V41:V42"/>
    <mergeCell ref="B20:B21"/>
    <mergeCell ref="V146:V147"/>
    <mergeCell ref="B173:B174"/>
    <mergeCell ref="V50:V51"/>
    <mergeCell ref="U167:U168"/>
    <mergeCell ref="U23:U24"/>
    <mergeCell ref="V86:V87"/>
    <mergeCell ref="V68:V69"/>
    <mergeCell ref="V80:V81"/>
    <mergeCell ref="U176:U177"/>
    <mergeCell ref="U128:U129"/>
    <mergeCell ref="W176:W177"/>
    <mergeCell ref="B188:B189"/>
    <mergeCell ref="W128:W129"/>
    <mergeCell ref="U38:U39"/>
    <mergeCell ref="W137:W138"/>
    <mergeCell ref="W38:W39"/>
    <mergeCell ref="B110:B111"/>
    <mergeCell ref="B125:B126"/>
    <mergeCell ref="V20:V21"/>
    <mergeCell ref="V14:V15"/>
    <mergeCell ref="V29:V30"/>
    <mergeCell ref="V185:V186"/>
    <mergeCell ref="B47:B48"/>
    <mergeCell ref="B62:B63"/>
    <mergeCell ref="B149:B150"/>
    <mergeCell ref="J5:K5"/>
    <mergeCell ref="W83:W84"/>
    <mergeCell ref="L5:N5"/>
    <mergeCell ref="U104:U105"/>
    <mergeCell ref="U17:U18"/>
    <mergeCell ref="U77:U78"/>
    <mergeCell ref="U170:U171"/>
    <mergeCell ref="W164:W165"/>
    <mergeCell ref="W20:W21"/>
    <mergeCell ref="W113:W114"/>
    <mergeCell ref="V59:V60"/>
    <mergeCell ref="B38:B39"/>
    <mergeCell ref="B182:B183"/>
    <mergeCell ref="W26:W27"/>
    <mergeCell ref="W35:W36"/>
    <mergeCell ref="W188:W189"/>
    <mergeCell ref="U146:U147"/>
    <mergeCell ref="V167:V168"/>
    <mergeCell ref="V161:V162"/>
    <mergeCell ref="U107:U108"/>
    <mergeCell ref="W59:W60"/>
    <mergeCell ref="W125:W126"/>
    <mergeCell ref="W77:W78"/>
    <mergeCell ref="B137:B138"/>
    <mergeCell ref="U53:U54"/>
    <mergeCell ref="B65:B66"/>
    <mergeCell ref="U14:U15"/>
    <mergeCell ref="B74:B75"/>
    <mergeCell ref="W14:W15"/>
    <mergeCell ref="B10:C10"/>
    <mergeCell ref="V104:V105"/>
    <mergeCell ref="V56:V57"/>
    <mergeCell ref="U173:U174"/>
    <mergeCell ref="V32:V33"/>
    <mergeCell ref="W29:W30"/>
    <mergeCell ref="B89:B90"/>
    <mergeCell ref="U182:U183"/>
    <mergeCell ref="U92:U93"/>
    <mergeCell ref="U110:U111"/>
    <mergeCell ref="U119:U120"/>
    <mergeCell ref="B113:B114"/>
    <mergeCell ref="W119:W120"/>
    <mergeCell ref="V8:V9"/>
    <mergeCell ref="U5:W6"/>
    <mergeCell ref="V17:V18"/>
    <mergeCell ref="B41:B42"/>
    <mergeCell ref="V188:V189"/>
    <mergeCell ref="V179:V180"/>
    <mergeCell ref="B50:B51"/>
    <mergeCell ref="B59:B60"/>
    <mergeCell ref="V101:V102"/>
  </mergeCells>
  <conditionalFormatting sqref="J9:S9">
    <cfRule type="cellIs" priority="1" operator="equal" dxfId="384">
      <formula>0</formula>
    </cfRule>
    <cfRule type="containsText" priority="6645" operator="containsText" dxfId="385" text="High">
      <formula>NOT(ISERROR(SEARCH("High",J9)))</formula>
    </cfRule>
  </conditionalFormatting>
  <conditionalFormatting sqref="D8:S8">
    <cfRule type="cellIs" priority="2" operator="equal" dxfId="384">
      <formula>0</formula>
    </cfRule>
  </conditionalFormatting>
  <dataValidations count="1">
    <dataValidation sqref="D11:S11 D14:S14 D17:S17 D20:S20 D23:S23 D26:S26 D29:S29 D32:S32 D35:S35 D38:S38 D41:S41 D44:S44 D47:S47 D50:S50 D53:S53" showDropDown="0" showInputMessage="0" showErrorMessage="0" allowBlank="1" type="list">
      <formula1>=Dropdowns!$B$1:$B$5</formula1>
    </dataValidation>
  </dataValidations>
  <pageMargins left="0.7" right="0.7" top="0.75" bottom="0.75" header="0.3" footer="0.3"/>
  <pageSetup orientation="landscape" scale="4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U22"/>
  <sheetViews>
    <sheetView showGridLines="0" showRowColHeaders="0" tabSelected="1" zoomScaleNormal="100" workbookViewId="0">
      <pane xSplit="3" ySplit="9" topLeftCell="D10" activePane="bottomRight" state="frozen"/>
      <selection pane="topRight" activeCell="D1" sqref="D1"/>
      <selection pane="bottomLeft" activeCell="A11" sqref="A11"/>
      <selection pane="bottomRight" activeCell="E7" sqref="E7"/>
    </sheetView>
  </sheetViews>
  <sheetFormatPr baseColWidth="8" defaultColWidth="0" defaultRowHeight="13.8" zeroHeight="1"/>
  <cols>
    <col width="0.6640625" customWidth="1" style="4" min="1" max="1"/>
    <col width="16.109375" customWidth="1" style="40" min="2" max="2"/>
    <col width="18.33203125" customWidth="1" style="52" min="3" max="3"/>
    <col width="16.5546875" customWidth="1" style="40" min="4" max="4"/>
    <col width="16.109375" customWidth="1" style="40" min="5" max="5"/>
    <col width="16.6640625" customWidth="1" style="40" min="6" max="17"/>
    <col width="18.5546875" customWidth="1" style="40" min="18" max="18"/>
    <col width="17.5546875" customWidth="1" style="40" min="19" max="19"/>
    <col width="1.33203125" customWidth="1" style="40" min="20" max="20"/>
    <col width="14.33203125" customWidth="1" style="4" min="21" max="21"/>
    <col width="14.88671875" customWidth="1" style="4" min="22" max="22"/>
    <col width="15" customWidth="1" style="4" min="23" max="23"/>
    <col width="46.109375" customWidth="1" style="4" min="24" max="24"/>
    <col hidden="1" width="3.109375" customWidth="1" style="122" min="25" max="30"/>
    <col hidden="1" width="3" customWidth="1" style="122" min="31" max="31"/>
    <col hidden="1" width="8.88671875" customWidth="1" style="122" min="32" max="32"/>
    <col hidden="1" width="3.109375" customWidth="1" style="122" min="33" max="43"/>
    <col hidden="1" width="3.109375" customWidth="1" style="122" min="44" max="44"/>
    <col hidden="1" width="3.109375" customWidth="1" style="4" min="45" max="52"/>
    <col hidden="1" width="8.88671875" customWidth="1" style="4" min="53" max="16384"/>
  </cols>
  <sheetData>
    <row r="1" ht="60" customHeight="1" s="59">
      <c r="A1" s="2" t="n"/>
      <c r="B1" s="162" t="inlineStr">
        <is>
          <t xml:space="preserve"> Triaging Investors</t>
        </is>
      </c>
      <c r="E1" s="5" t="n"/>
      <c r="F1" s="5" t="n"/>
      <c r="G1" s="5" t="n"/>
      <c r="H1" s="5" t="n"/>
      <c r="I1" s="5" t="n"/>
      <c r="J1" s="5" t="n"/>
      <c r="K1" s="5" t="n"/>
      <c r="L1" s="5" t="n"/>
      <c r="M1" s="5" t="n"/>
      <c r="N1" s="5" t="n"/>
      <c r="O1" s="5" t="n"/>
      <c r="P1" s="5" t="n"/>
      <c r="Q1" s="5" t="n"/>
      <c r="R1" s="5" t="n"/>
      <c r="S1" s="5" t="n"/>
      <c r="T1" s="5" t="n"/>
      <c r="U1" s="2" t="n"/>
      <c r="V1" s="2" t="n"/>
      <c r="W1" s="2" t="n"/>
      <c r="X1" s="2" t="n"/>
      <c r="Y1" s="61" t="n"/>
      <c r="Z1" s="61" t="n"/>
      <c r="AA1" s="61" t="n"/>
      <c r="AB1" s="61" t="n"/>
      <c r="AC1" s="61" t="n"/>
      <c r="AD1" s="61" t="n"/>
      <c r="AE1" s="61" t="n"/>
      <c r="AF1" s="61" t="n"/>
      <c r="AG1" s="61" t="n"/>
      <c r="AH1" s="61" t="n"/>
      <c r="AI1" s="61" t="n"/>
      <c r="AJ1" s="61" t="n"/>
      <c r="AK1" s="61" t="n"/>
      <c r="AL1" s="61" t="n"/>
      <c r="AM1" s="61" t="n"/>
      <c r="AN1" s="61" t="n"/>
      <c r="AO1" s="61" t="n"/>
      <c r="AP1" s="61" t="n"/>
      <c r="AQ1" s="61" t="n"/>
      <c r="AR1" s="61" t="n"/>
    </row>
    <row r="2" ht="3" customHeight="1" s="59">
      <c r="A2" s="3" t="n"/>
      <c r="B2" s="6" t="n"/>
      <c r="C2" s="44" t="n"/>
      <c r="D2" s="6" t="n"/>
      <c r="E2" s="6" t="n"/>
      <c r="F2" s="6" t="n"/>
      <c r="G2" s="6" t="n"/>
      <c r="H2" s="6" t="n"/>
      <c r="I2" s="6" t="n"/>
      <c r="J2" s="6" t="n"/>
      <c r="K2" s="6" t="n"/>
      <c r="L2" s="6" t="n"/>
      <c r="M2" s="6" t="n"/>
      <c r="N2" s="6" t="n"/>
      <c r="O2" s="6" t="n"/>
      <c r="P2" s="6" t="n"/>
      <c r="Q2" s="6" t="n"/>
      <c r="R2" s="6" t="n"/>
      <c r="S2" s="6" t="n"/>
      <c r="T2" s="6" t="n"/>
      <c r="U2" s="3" t="n"/>
      <c r="V2" s="3" t="n"/>
      <c r="W2" s="3" t="n"/>
      <c r="X2" s="3" t="n"/>
      <c r="Y2" s="61" t="n"/>
      <c r="Z2" s="61" t="n"/>
      <c r="AA2" s="61" t="n"/>
      <c r="AB2" s="61" t="n"/>
      <c r="AC2" s="61" t="n"/>
      <c r="AD2" s="61" t="n"/>
      <c r="AE2" s="61" t="n"/>
      <c r="AF2" s="61" t="n"/>
      <c r="AG2" s="61" t="n"/>
      <c r="AH2" s="61" t="n"/>
      <c r="AI2" s="61" t="n"/>
      <c r="AJ2" s="61" t="n"/>
      <c r="AK2" s="61" t="n"/>
      <c r="AL2" s="61" t="n"/>
      <c r="AM2" s="61" t="n"/>
      <c r="AN2" s="61" t="n"/>
      <c r="AO2" s="61" t="n"/>
      <c r="AP2" s="61" t="n"/>
      <c r="AQ2" s="61" t="n"/>
      <c r="AR2" s="61" t="n"/>
    </row>
    <row r="3" ht="14.25" customHeight="1" s="59">
      <c r="B3" s="163" t="inlineStr">
        <is>
          <t>In this example a health venture in India has evaluated four fictional investors for alignment. The results on the right help this venture prioritize which investors to pursue at this time, and which investors may be a good fit in the future.
Information on your venture:</t>
        </is>
      </c>
      <c r="D3" s="68" t="n"/>
      <c r="E3" s="68" t="n"/>
      <c r="Y3" s="89" t="n"/>
      <c r="Z3" s="89" t="n"/>
      <c r="AA3" s="89" t="n"/>
      <c r="AB3" s="89" t="n"/>
      <c r="AC3" s="89" t="n"/>
      <c r="AD3" s="89" t="n"/>
      <c r="AE3" s="89" t="n"/>
      <c r="AF3" s="89" t="n"/>
      <c r="AG3" s="89" t="n"/>
      <c r="AH3" s="89" t="n"/>
      <c r="AI3" s="89" t="n"/>
      <c r="AJ3" s="89" t="n"/>
      <c r="AK3" s="89" t="n"/>
      <c r="AL3" s="89" t="n"/>
      <c r="AM3" s="89" t="n"/>
      <c r="AN3" s="89" t="n"/>
      <c r="AO3" s="89" t="n"/>
      <c r="AP3" s="89" t="n"/>
      <c r="AQ3" s="89" t="n"/>
      <c r="AR3" s="89" t="n"/>
      <c r="AS3" s="89" t="n"/>
      <c r="AT3" s="89" t="n"/>
      <c r="AU3" s="89" t="n"/>
    </row>
    <row r="4" ht="18" customHeight="1" s="59" thickBot="1">
      <c r="A4" s="38" t="n"/>
      <c r="S4" s="40" t="n"/>
      <c r="Y4" s="92" t="n"/>
      <c r="Z4" s="92" t="n"/>
      <c r="AA4" s="92" t="n"/>
      <c r="AB4" s="92" t="n"/>
      <c r="AC4" s="92" t="n"/>
      <c r="AD4" s="92" t="n"/>
      <c r="AE4" s="92" t="n"/>
      <c r="AF4" s="92" t="n"/>
      <c r="AG4" s="92" t="n"/>
      <c r="AH4" s="92" t="n"/>
      <c r="AI4" s="92" t="n"/>
      <c r="AJ4" s="92" t="n"/>
      <c r="AK4" s="92" t="n"/>
      <c r="AL4" s="92" t="n"/>
      <c r="AM4" s="92" t="n"/>
      <c r="AN4" s="92" t="n"/>
      <c r="AO4" s="92" t="n"/>
      <c r="AP4" s="92" t="n"/>
      <c r="AQ4" s="92" t="n"/>
      <c r="AR4" s="92" t="n"/>
      <c r="AS4" s="92" t="n"/>
      <c r="AT4" s="92" t="n"/>
      <c r="AU4" s="92" t="n"/>
    </row>
    <row r="5" ht="16.5" customHeight="1" s="59" thickBot="1">
      <c r="A5" s="38" t="n"/>
      <c r="D5" s="134" t="inlineStr">
        <is>
          <t>KNOCKOUT CRITERIA - must be aligned on these</t>
        </is>
      </c>
      <c r="E5" s="164" t="n"/>
      <c r="F5" s="164" t="n"/>
      <c r="G5" s="164" t="n"/>
      <c r="H5" s="164" t="n"/>
      <c r="I5" s="165" t="n"/>
      <c r="J5" s="166" t="inlineStr">
        <is>
          <t xml:space="preserve"> FIT CRITERIA: Mission and Vision</t>
        </is>
      </c>
      <c r="K5" s="167" t="n"/>
      <c r="L5" s="166" t="inlineStr">
        <is>
          <t>FIT CRITERIA: Expected From Us</t>
        </is>
      </c>
      <c r="M5" s="164" t="n"/>
      <c r="N5" s="167" t="n"/>
      <c r="O5" s="166" t="inlineStr">
        <is>
          <t>FIT CRITERIA: Expected From Our Investors</t>
        </is>
      </c>
      <c r="P5" s="164" t="n"/>
      <c r="Q5" s="164" t="n"/>
      <c r="R5" s="164" t="n"/>
      <c r="S5" s="167" t="n"/>
      <c r="U5" s="161" t="inlineStr">
        <is>
          <t>RESULTS</t>
        </is>
      </c>
      <c r="Y5" s="89" t="n"/>
      <c r="Z5" s="89" t="n"/>
      <c r="AA5" s="89" t="n"/>
      <c r="AB5" s="89" t="n"/>
      <c r="AC5" s="89" t="n"/>
      <c r="AD5" s="89" t="n"/>
      <c r="AE5" s="89" t="n"/>
      <c r="AF5" s="89" t="n"/>
      <c r="AG5" s="89" t="n"/>
      <c r="AH5" s="89" t="n"/>
      <c r="AI5" s="89" t="n"/>
      <c r="AJ5" s="89" t="n"/>
      <c r="AK5" s="89" t="n"/>
      <c r="AL5" s="89" t="n"/>
      <c r="AM5" s="89" t="n"/>
      <c r="AN5" s="89" t="n"/>
      <c r="AO5" s="89" t="n"/>
      <c r="AP5" s="89" t="n"/>
      <c r="AQ5" s="89" t="n"/>
      <c r="AR5" s="89" t="n"/>
      <c r="AS5" s="89" t="n"/>
      <c r="AT5" s="89" t="n"/>
      <c r="AU5" s="89" t="n"/>
    </row>
    <row r="6" ht="30" customHeight="1" s="59">
      <c r="A6" s="38" t="n"/>
      <c r="D6" s="9" t="inlineStr">
        <is>
          <t>Investment Geography</t>
        </is>
      </c>
      <c r="E6" s="9" t="inlineStr">
        <is>
          <t>Legal Structure</t>
        </is>
      </c>
      <c r="F6" s="9" t="inlineStr">
        <is>
          <t>Investment Size</t>
        </is>
      </c>
      <c r="G6" s="9" t="inlineStr">
        <is>
          <t>Return Expectations</t>
        </is>
      </c>
      <c r="H6" s="9" t="inlineStr">
        <is>
          <t>Capital Type</t>
        </is>
      </c>
      <c r="I6" s="9" t="inlineStr">
        <is>
          <t>Stage of Growth</t>
        </is>
      </c>
      <c r="J6" s="18" t="inlineStr">
        <is>
          <t>Social Mission</t>
        </is>
      </c>
      <c r="K6" s="19" t="inlineStr">
        <is>
          <t>Company Vision</t>
        </is>
      </c>
      <c r="L6" s="19" t="inlineStr">
        <is>
          <t>Governance</t>
        </is>
      </c>
      <c r="M6" s="19" t="inlineStr">
        <is>
          <t>Restrictions</t>
        </is>
      </c>
      <c r="N6" s="19" t="inlineStr">
        <is>
          <t>Impact Evidence</t>
        </is>
      </c>
      <c r="O6" s="19" t="inlineStr">
        <is>
          <t>Connections</t>
        </is>
      </c>
      <c r="P6" s="19" t="inlineStr">
        <is>
          <t>Geography experience</t>
        </is>
      </c>
      <c r="Q6" s="19" t="inlineStr">
        <is>
          <t>Industry experience</t>
        </is>
      </c>
      <c r="R6" s="19" t="inlineStr">
        <is>
          <t>Business challenge experience</t>
        </is>
      </c>
      <c r="S6" s="19" t="inlineStr">
        <is>
          <t>Impact on future investments</t>
        </is>
      </c>
      <c r="Y6" s="89" t="n"/>
      <c r="Z6" s="89" t="n"/>
      <c r="AA6" s="89" t="n"/>
      <c r="AB6" s="89" t="n"/>
      <c r="AC6" s="89" t="n"/>
      <c r="AD6" s="89" t="n"/>
      <c r="AE6" s="89" t="n"/>
      <c r="AF6" s="89" t="n"/>
      <c r="AG6" s="89" t="n"/>
      <c r="AH6" s="89" t="n"/>
      <c r="AI6" s="89" t="n"/>
      <c r="AJ6" s="89" t="n"/>
      <c r="AK6" s="89" t="n"/>
      <c r="AL6" s="89" t="n"/>
      <c r="AM6" s="89" t="n"/>
      <c r="AN6" s="89" t="n"/>
      <c r="AO6" s="89" t="n"/>
      <c r="AP6" s="89" t="n"/>
      <c r="AQ6" s="89" t="n"/>
      <c r="AR6" s="89" t="n"/>
      <c r="AS6" s="89" t="n"/>
      <c r="AT6" s="89" t="n"/>
      <c r="AU6" s="89" t="n"/>
    </row>
    <row r="7" ht="48.75" customFormat="1" customHeight="1" s="12" thickBot="1">
      <c r="A7" s="38" t="n"/>
      <c r="B7" s="183" t="n"/>
      <c r="C7" s="183" t="n"/>
      <c r="D7" s="21" t="inlineStr">
        <is>
          <t>Invests in places we operate or are head-quartered</t>
        </is>
      </c>
      <c r="E7" s="21" t="inlineStr">
        <is>
          <t>Invests in our legal structure (i.e. for profit, nonprofit, hybrid)</t>
        </is>
      </c>
      <c r="F7" s="21" t="inlineStr">
        <is>
          <t>Generally invests the amount we are seeking</t>
        </is>
      </c>
      <c r="G7" s="21" t="inlineStr">
        <is>
          <t>Aligns on financial/ social return expectations (i.e., timeframe, exit)</t>
        </is>
      </c>
      <c r="H7" s="21" t="inlineStr">
        <is>
          <t>Offers type of capital (e.g. debt, equity, recoverable grant) we seek</t>
        </is>
      </c>
      <c r="I7" s="21" t="inlineStr">
        <is>
          <t>Invests in ventures at our stage of growth</t>
        </is>
      </c>
      <c r="J7" s="22" t="inlineStr">
        <is>
          <t>Understands and supports our social mission</t>
        </is>
      </c>
      <c r="K7" s="23" t="inlineStr">
        <is>
          <t>Understands and supports our vision</t>
        </is>
      </c>
      <c r="L7" s="23" t="inlineStr">
        <is>
          <t>Governance expectations (if any) match ours</t>
        </is>
      </c>
      <c r="M7" s="23" t="inlineStr">
        <is>
          <t>Any restrictions on use of funds (project, geography, etc.) work for us</t>
        </is>
      </c>
      <c r="N7" s="23" t="inlineStr">
        <is>
          <t>We can provide the level of impact evidence expected</t>
        </is>
      </c>
      <c r="O7" s="23" t="inlineStr">
        <is>
          <t>Able and willing to make useful connections for us</t>
        </is>
      </c>
      <c r="P7" s="23" t="inlineStr">
        <is>
          <t>Has experience in the locations we operate and want to enter</t>
        </is>
      </c>
      <c r="Q7" s="23" t="inlineStr">
        <is>
          <t>Has experience in our industry and/or market segment</t>
        </is>
      </c>
      <c r="R7" s="23" t="inlineStr">
        <is>
          <t>Has experience with the specific issues we are facing</t>
        </is>
      </c>
      <c r="S7" s="23" t="inlineStr">
        <is>
          <t>Any potential positive or negative impact on future capital raise works for us</t>
        </is>
      </c>
      <c r="T7" s="13" t="n"/>
      <c r="U7" s="33" t="inlineStr">
        <is>
          <t>Knockout Criteria</t>
        </is>
      </c>
      <c r="V7" s="33" t="inlineStr">
        <is>
          <t>High Priority 
Fit Criteria</t>
        </is>
      </c>
      <c r="W7" s="33" t="inlineStr">
        <is>
          <t>All 
Fit Criteria</t>
        </is>
      </c>
      <c r="Y7" s="121" t="n"/>
      <c r="Z7" s="121" t="n"/>
      <c r="AA7" s="121" t="n"/>
      <c r="AB7" s="121" t="n"/>
      <c r="AC7" s="121" t="n"/>
      <c r="AD7" s="121" t="n"/>
      <c r="AE7" s="121" t="n"/>
      <c r="AF7" s="121" t="n"/>
      <c r="AG7" s="121" t="inlineStr">
        <is>
          <t>High Priority total</t>
        </is>
      </c>
      <c r="AH7" s="121" t="n"/>
      <c r="AI7" s="121" t="n"/>
      <c r="AJ7" s="121" t="n"/>
      <c r="AK7" s="121" t="n"/>
      <c r="AL7" s="121" t="n"/>
      <c r="AM7" s="121" t="n"/>
      <c r="AN7" s="121" t="n"/>
      <c r="AO7" s="121" t="n"/>
      <c r="AP7" s="121" t="n"/>
      <c r="AQ7" s="121" t="n"/>
      <c r="AR7" s="121" t="n"/>
      <c r="AS7" s="93" t="n"/>
      <c r="AT7" s="93" t="n"/>
      <c r="AU7" s="93" t="n"/>
    </row>
    <row r="8" ht="64.5" customHeight="1" s="59">
      <c r="B8" s="131" t="inlineStr">
        <is>
          <t>Our needs</t>
        </is>
      </c>
      <c r="C8" s="45" t="inlineStr">
        <is>
          <t>Document
your
needs:</t>
        </is>
      </c>
      <c r="D8" s="86" t="inlineStr">
        <is>
          <t>India</t>
        </is>
      </c>
      <c r="E8" s="86" t="inlineStr">
        <is>
          <t>For profit</t>
        </is>
      </c>
      <c r="F8" s="86" t="inlineStr">
        <is>
          <t>$200,000-$500,000</t>
        </is>
      </c>
      <c r="G8" s="86" t="inlineStr">
        <is>
          <t>Lower financial return given our customer base, more impact focused</t>
        </is>
      </c>
      <c r="H8" s="86" t="inlineStr">
        <is>
          <t>Grant, recoverable grant, equity</t>
        </is>
      </c>
      <c r="I8" s="86" t="inlineStr">
        <is>
          <t>Early stage</t>
        </is>
      </c>
      <c r="J8" s="86" t="inlineStr">
        <is>
          <t>Providing affordable preventative healthcare to India's rural poor</t>
        </is>
      </c>
      <c r="K8" s="86" t="inlineStr">
        <is>
          <t>Employ our hub-and-spoke model in 3 villages, then expand to more</t>
        </is>
      </c>
      <c r="L8" s="86" t="inlineStr">
        <is>
          <t>Willing to put someone on our board</t>
        </is>
      </c>
      <c r="M8" s="86" t="inlineStr">
        <is>
          <t>Need someone focused on our geography and rural population</t>
        </is>
      </c>
      <c r="N8" s="86" t="inlineStr">
        <is>
          <t>We can collect data on income level of customers served</t>
        </is>
      </c>
      <c r="O8" s="86" t="inlineStr">
        <is>
          <t>This is somewhat useful to us, but not critical at this point</t>
        </is>
      </c>
      <c r="P8" s="86" t="inlineStr">
        <is>
          <t>Have our own experience in our geography, so this isn't critical</t>
        </is>
      </c>
      <c r="Q8" s="86" t="inlineStr">
        <is>
          <t>This would be helpful, but isn't critical</t>
        </is>
      </c>
      <c r="R8" s="86" t="inlineStr">
        <is>
          <t>Experience supporting early stage venture testing a model would be helpful</t>
        </is>
      </c>
      <c r="S8" s="86" t="inlineStr">
        <is>
          <t>Not sure what our needs are on this</t>
        </is>
      </c>
      <c r="U8" s="160" t="inlineStr">
        <is>
          <t>For all 6 knockout criteria
are you somewhat or very aligned?</t>
        </is>
      </c>
      <c r="V8" s="160" t="inlineStr">
        <is>
          <t>For how many high priority
fit criteria 
are you
somewhat or very aligned?</t>
        </is>
      </c>
      <c r="W8" s="160" t="inlineStr">
        <is>
          <t>For how many overall
fit criteria
are you somewhat or very aligned?</t>
        </is>
      </c>
      <c r="AG8" s="122" t="inlineStr">
        <is>
          <t>J</t>
        </is>
      </c>
      <c r="AH8" s="122" t="inlineStr">
        <is>
          <t>K</t>
        </is>
      </c>
      <c r="AI8" s="122" t="inlineStr">
        <is>
          <t>L</t>
        </is>
      </c>
      <c r="AJ8" s="122" t="inlineStr">
        <is>
          <t>M</t>
        </is>
      </c>
      <c r="AK8" s="122" t="inlineStr">
        <is>
          <t>N</t>
        </is>
      </c>
      <c r="AL8" s="122" t="inlineStr">
        <is>
          <t>O</t>
        </is>
      </c>
      <c r="AM8" s="122" t="inlineStr">
        <is>
          <t>P</t>
        </is>
      </c>
      <c r="AN8" s="122" t="inlineStr">
        <is>
          <t>Q</t>
        </is>
      </c>
      <c r="AO8" s="122" t="inlineStr">
        <is>
          <t>R</t>
        </is>
      </c>
      <c r="AP8" s="122" t="inlineStr">
        <is>
          <t>S</t>
        </is>
      </c>
      <c r="AQ8" s="122" t="inlineStr">
        <is>
          <t>Total</t>
        </is>
      </c>
      <c r="AS8" s="89" t="n"/>
      <c r="AT8" s="89" t="n"/>
      <c r="AU8" s="89" t="n"/>
    </row>
    <row r="9" ht="26.25" customHeight="1" s="59" thickBot="1">
      <c r="B9" s="169" t="n"/>
      <c r="C9" s="46" t="inlineStr">
        <is>
          <t>Choose priority level (dropdown menu):</t>
        </is>
      </c>
      <c r="D9" s="133" t="inlineStr">
        <is>
          <t>High - MOST IMPORTANT to be aligned on these</t>
        </is>
      </c>
      <c r="E9" s="170" t="n"/>
      <c r="F9" s="170" t="n"/>
      <c r="G9" s="170" t="n"/>
      <c r="H9" s="170" t="n"/>
      <c r="I9" s="171" t="n"/>
      <c r="J9" s="29" t="inlineStr">
        <is>
          <t>High</t>
        </is>
      </c>
      <c r="K9" s="29" t="inlineStr">
        <is>
          <t>Medium</t>
        </is>
      </c>
      <c r="L9" s="29" t="inlineStr">
        <is>
          <t>Medium</t>
        </is>
      </c>
      <c r="M9" s="29" t="inlineStr">
        <is>
          <t>High</t>
        </is>
      </c>
      <c r="N9" s="29" t="inlineStr">
        <is>
          <t>Medium</t>
        </is>
      </c>
      <c r="O9" s="29" t="inlineStr">
        <is>
          <t>Low</t>
        </is>
      </c>
      <c r="P9" s="29" t="inlineStr">
        <is>
          <t>Low</t>
        </is>
      </c>
      <c r="Q9" s="29" t="inlineStr">
        <is>
          <t>Low</t>
        </is>
      </c>
      <c r="R9" s="29" t="inlineStr">
        <is>
          <t>High</t>
        </is>
      </c>
      <c r="S9" s="29" t="inlineStr">
        <is>
          <t>Low</t>
        </is>
      </c>
      <c r="Y9" s="159" t="inlineStr">
        <is>
          <t>Knockout criteria results formula work</t>
        </is>
      </c>
      <c r="AG9" s="122">
        <f>IF(J9=Dropdowns!$A$1,1,0)</f>
        <v/>
      </c>
      <c r="AH9" s="122">
        <f>IF(K9=Dropdowns!$A$1,1,0)</f>
        <v/>
      </c>
      <c r="AI9" s="122">
        <f>IF(L9=Dropdowns!$A$1,1,0)</f>
        <v/>
      </c>
      <c r="AJ9" s="122">
        <f>IF(M9=Dropdowns!$A$1,1,0)</f>
        <v/>
      </c>
      <c r="AK9" s="122">
        <f>IF(N9=Dropdowns!$A$1,1,0)</f>
        <v/>
      </c>
      <c r="AL9" s="122">
        <f>IF(O9=Dropdowns!$A$1,1,0)</f>
        <v/>
      </c>
      <c r="AM9" s="122">
        <f>IF(P9=Dropdowns!$A$1,1,0)</f>
        <v/>
      </c>
      <c r="AN9" s="122">
        <f>IF(Q9=Dropdowns!$A$1,1,0)</f>
        <v/>
      </c>
      <c r="AO9" s="122">
        <f>IF(R9=Dropdowns!$A$1,1,0)</f>
        <v/>
      </c>
      <c r="AP9" s="122">
        <f>IF(S9=Dropdowns!$A$1,1,0)</f>
        <v/>
      </c>
      <c r="AQ9" s="120">
        <f>SUM(AG9:AP9)</f>
        <v/>
      </c>
      <c r="AS9" s="89" t="n"/>
      <c r="AT9" s="89" t="n"/>
      <c r="AU9" s="89" t="n"/>
    </row>
    <row r="10" ht="19.5" customHeight="1" s="59" thickBot="1">
      <c r="A10" s="4" t="n"/>
      <c r="B10" s="129" t="inlineStr">
        <is>
          <t>Information on potential investors:</t>
        </is>
      </c>
      <c r="D10" s="40" t="n"/>
      <c r="E10" s="40" t="n"/>
      <c r="F10" s="40" t="n"/>
      <c r="G10" s="40" t="n"/>
      <c r="H10" s="40" t="n"/>
      <c r="I10" s="40" t="n"/>
      <c r="J10" s="40" t="n"/>
      <c r="K10" s="40" t="n"/>
      <c r="L10" s="40" t="n"/>
      <c r="M10" s="40" t="n"/>
      <c r="N10" s="40" t="n"/>
      <c r="O10" s="40" t="n"/>
      <c r="P10" s="40" t="n"/>
      <c r="Q10" s="40" t="n"/>
      <c r="R10" s="40" t="n"/>
      <c r="S10" s="40" t="n"/>
      <c r="U10" s="11" t="n"/>
      <c r="V10" s="11" t="n"/>
      <c r="W10" s="11" t="n"/>
      <c r="Y10" s="122" t="inlineStr">
        <is>
          <t>D</t>
        </is>
      </c>
      <c r="Z10" s="122" t="inlineStr">
        <is>
          <t>E</t>
        </is>
      </c>
      <c r="AA10" s="122" t="inlineStr">
        <is>
          <t>F</t>
        </is>
      </c>
      <c r="AB10" s="122" t="inlineStr">
        <is>
          <t>G</t>
        </is>
      </c>
      <c r="AC10" s="122" t="inlineStr">
        <is>
          <t>H</t>
        </is>
      </c>
      <c r="AD10" s="122" t="inlineStr">
        <is>
          <t>I</t>
        </is>
      </c>
      <c r="AE10" s="122" t="inlineStr">
        <is>
          <t>Total</t>
        </is>
      </c>
      <c r="AG10" s="122" t="inlineStr">
        <is>
          <t>Very or somewhat aligned</t>
        </is>
      </c>
      <c r="AS10" s="89" t="n"/>
      <c r="AT10" s="89" t="n"/>
      <c r="AU10" s="89" t="n"/>
    </row>
    <row r="11" ht="24.9" customHeight="1" s="59" thickBot="1" thickTop="1">
      <c r="A11" s="10" t="n"/>
      <c r="B11" s="186" t="inlineStr">
        <is>
          <t>USA Development Grant Program</t>
        </is>
      </c>
      <c r="C11" s="47" t="inlineStr">
        <is>
          <t>Rate alignment
(dropdown menu):</t>
        </is>
      </c>
      <c r="D11" s="24" t="inlineStr">
        <is>
          <t>Very Aligned</t>
        </is>
      </c>
      <c r="E11" s="24" t="inlineStr">
        <is>
          <t>Very Aligned</t>
        </is>
      </c>
      <c r="F11" s="24" t="inlineStr">
        <is>
          <t>Somewhat Aligned</t>
        </is>
      </c>
      <c r="G11" s="24" t="inlineStr">
        <is>
          <t>Very Aligned</t>
        </is>
      </c>
      <c r="H11" s="24" t="inlineStr">
        <is>
          <t>Very Aligned</t>
        </is>
      </c>
      <c r="I11" s="24" t="inlineStr">
        <is>
          <t>Very Aligned</t>
        </is>
      </c>
      <c r="J11" s="24" t="inlineStr">
        <is>
          <t>Very Aligned</t>
        </is>
      </c>
      <c r="K11" s="24" t="inlineStr">
        <is>
          <t>Very Aligned</t>
        </is>
      </c>
      <c r="L11" s="24" t="inlineStr">
        <is>
          <t>Very Aligned</t>
        </is>
      </c>
      <c r="M11" s="24" t="inlineStr">
        <is>
          <t>Very Aligned</t>
        </is>
      </c>
      <c r="N11" s="24" t="inlineStr">
        <is>
          <t>Don't Know</t>
        </is>
      </c>
      <c r="O11" s="24" t="inlineStr">
        <is>
          <t>Somewhat Aligned</t>
        </is>
      </c>
      <c r="P11" s="24" t="inlineStr">
        <is>
          <t>Very Aligned</t>
        </is>
      </c>
      <c r="Q11" s="24" t="inlineStr">
        <is>
          <t>Very Aligned</t>
        </is>
      </c>
      <c r="R11" s="24" t="inlineStr">
        <is>
          <t>Somewhat Aligned</t>
        </is>
      </c>
      <c r="S11" s="25" t="inlineStr">
        <is>
          <t>Very Aligned</t>
        </is>
      </c>
      <c r="U11" s="155">
        <f>IF(AE11=6,"Yes","No")</f>
        <v/>
      </c>
      <c r="V11" s="156">
        <f>CONCATENATE(AQ12,"/", AQ9)</f>
        <v/>
      </c>
      <c r="W11" s="156">
        <f>CONCATENATE(AQ11,"/", "10")</f>
        <v/>
      </c>
      <c r="Y11" s="122">
        <f>IF(OR(D11=Dropdowns!$B$1,D11=Dropdowns!$B$2),1,0)</f>
        <v/>
      </c>
      <c r="Z11" s="122">
        <f>IF(OR(E11=Dropdowns!$B$1,E11=Dropdowns!$B$2),1,0)</f>
        <v/>
      </c>
      <c r="AA11" s="122">
        <f>IF(OR(F11=Dropdowns!$B$1,F11=Dropdowns!$B$2),1,0)</f>
        <v/>
      </c>
      <c r="AB11" s="122">
        <f>IF(OR(G11=Dropdowns!$B$1,G11=Dropdowns!$B$2),1,0)</f>
        <v/>
      </c>
      <c r="AC11" s="122">
        <f>IF(OR(H11=Dropdowns!$B$1,H11=Dropdowns!$B$2),1,0)</f>
        <v/>
      </c>
      <c r="AD11" s="122">
        <f>IF(OR(I11=Dropdowns!$B$1,I11=Dropdowns!$B$2),1,0)</f>
        <v/>
      </c>
      <c r="AE11" s="122">
        <f>SUM(Y11:AD11)</f>
        <v/>
      </c>
      <c r="AG11" s="122">
        <f>IF(OR(J11=Dropdowns!$B$1,J11=Dropdowns!$B$2),1,0)</f>
        <v/>
      </c>
      <c r="AH11" s="122">
        <f>IF(OR(K11=Dropdowns!$B$1,K11=Dropdowns!$B$2),1,0)</f>
        <v/>
      </c>
      <c r="AI11" s="122">
        <f>IF(OR(L11=Dropdowns!$B$1,L11=Dropdowns!$B$2),1,0)</f>
        <v/>
      </c>
      <c r="AJ11" s="122">
        <f>IF(OR(M11=Dropdowns!$B$1,M11=Dropdowns!$B$2),1,0)</f>
        <v/>
      </c>
      <c r="AK11" s="122">
        <f>IF(OR(N11=Dropdowns!$B$1,N11=Dropdowns!$B$2),1,0)</f>
        <v/>
      </c>
      <c r="AL11" s="122">
        <f>IF(OR(O11=Dropdowns!$B$1,O11=Dropdowns!$B$2),1,0)</f>
        <v/>
      </c>
      <c r="AM11" s="122">
        <f>IF(OR(P11=Dropdowns!$B$1,P11=Dropdowns!$B$2),1,0)</f>
        <v/>
      </c>
      <c r="AN11" s="122">
        <f>IF(OR(Q11=Dropdowns!$B$1,Q11=Dropdowns!$B$2),1,0)</f>
        <v/>
      </c>
      <c r="AO11" s="122">
        <f>IF(OR(R11=Dropdowns!$B$1,R11=Dropdowns!$B$2),1,0)</f>
        <v/>
      </c>
      <c r="AP11" s="122">
        <f>IF(OR(S11=Dropdowns!$B$1,S11=Dropdowns!$B$2),1,0)</f>
        <v/>
      </c>
      <c r="AQ11" s="120">
        <f>SUM(AG11:AP11)</f>
        <v/>
      </c>
      <c r="AS11" s="89" t="n"/>
      <c r="AT11" s="89" t="n"/>
      <c r="AU11" s="89" t="n"/>
    </row>
    <row r="12" ht="65.09999999999999" customHeight="1" s="59" thickBot="1" thickTop="1">
      <c r="A12" s="4" t="n"/>
      <c r="B12" s="187" t="n"/>
      <c r="C12" s="48" t="inlineStr">
        <is>
          <t>Make notes on investor alignment:</t>
        </is>
      </c>
      <c r="D12" s="26" t="inlineStr">
        <is>
          <t>Focused on developing countries</t>
        </is>
      </c>
      <c r="E12" s="26" t="inlineStr">
        <is>
          <t>Fund for profits</t>
        </is>
      </c>
      <c r="F12" s="26" t="inlineStr">
        <is>
          <t>Up to $150K, so this could be a portion of what we need</t>
        </is>
      </c>
      <c r="G12" s="26" t="inlineStr">
        <is>
          <t>Offer grants</t>
        </is>
      </c>
      <c r="H12" s="26" t="inlineStr">
        <is>
          <t>Grant</t>
        </is>
      </c>
      <c r="I12" s="26" t="inlineStr">
        <is>
          <t>Stage 1 grant is for early stage</t>
        </is>
      </c>
      <c r="J12" s="26" t="inlineStr">
        <is>
          <t>Supports innovation in developing countries</t>
        </is>
      </c>
      <c r="K12" s="26" t="inlineStr">
        <is>
          <t>Stage 1 funding is for testing the model</t>
        </is>
      </c>
      <c r="L12" s="26" t="inlineStr">
        <is>
          <t>Wouldn't impact governance</t>
        </is>
      </c>
      <c r="M12" s="26" t="inlineStr">
        <is>
          <t>Funding is for testing a model and that is what we need to do</t>
        </is>
      </c>
      <c r="N12" s="26" t="inlineStr">
        <is>
          <t>Not sure the impact data we would need to report and how difficult it would be</t>
        </is>
      </c>
      <c r="O12" s="26" t="inlineStr">
        <is>
          <t>May be able to connect us to other grant funding</t>
        </is>
      </c>
      <c r="P12" s="26" t="inlineStr">
        <is>
          <t>Has funded other ventures in our area</t>
        </is>
      </c>
      <c r="Q12" s="26" t="inlineStr">
        <is>
          <t>Has funded other health ventures</t>
        </is>
      </c>
      <c r="R12" s="26" t="inlineStr">
        <is>
          <t>Funds early stage, but not sure how much direct support they will provide, besides $</t>
        </is>
      </c>
      <c r="S12" s="27" t="inlineStr">
        <is>
          <t>Would look good to secure funding from DIV</t>
        </is>
      </c>
      <c r="U12" s="188" t="n"/>
      <c r="V12" s="188" t="n"/>
      <c r="W12" s="188" t="n"/>
      <c r="AG12" s="122">
        <f>IF(AG9=1,AG11,0)</f>
        <v/>
      </c>
      <c r="AH12" s="122">
        <f>IF(AH9=1,AH11,0)</f>
        <v/>
      </c>
      <c r="AI12" s="122">
        <f>IF(AI9=1,AI11,0)</f>
        <v/>
      </c>
      <c r="AJ12" s="122">
        <f>IF(AJ9=1,AJ11,0)</f>
        <v/>
      </c>
      <c r="AK12" s="122">
        <f>IF(AK9=1,AK11,0)</f>
        <v/>
      </c>
      <c r="AL12" s="122">
        <f>IF(AL9=1,AL11,0)</f>
        <v/>
      </c>
      <c r="AM12" s="122">
        <f>IF(AM9=1,AM11,0)</f>
        <v/>
      </c>
      <c r="AN12" s="122">
        <f>IF(AN9=1,AN11,0)</f>
        <v/>
      </c>
      <c r="AO12" s="122">
        <f>IF(AO9=1,AO11,0)</f>
        <v/>
      </c>
      <c r="AP12" s="122">
        <f>IF(AP9=1,AP11,0)</f>
        <v/>
      </c>
      <c r="AQ12" s="120">
        <f>SUM(AG12:AP12)</f>
        <v/>
      </c>
      <c r="AS12" s="89" t="n"/>
      <c r="AT12" s="89" t="n"/>
      <c r="AU12" s="89" t="n"/>
    </row>
    <row r="13" ht="6" customFormat="1" customHeight="1" s="17" thickBot="1">
      <c r="A13" s="17" t="n"/>
      <c r="B13" s="54" t="n"/>
      <c r="C13" s="49" t="n"/>
      <c r="D13" s="16" t="n"/>
      <c r="E13" s="16" t="n"/>
      <c r="F13" s="16" t="n"/>
      <c r="G13" s="95" t="n"/>
      <c r="H13" s="95" t="n"/>
      <c r="I13" s="95" t="n"/>
      <c r="J13" s="95" t="n"/>
      <c r="K13" s="95" t="n"/>
      <c r="L13" s="95" t="n"/>
      <c r="M13" s="95" t="n"/>
      <c r="N13" s="95" t="n"/>
      <c r="O13" s="95" t="n"/>
      <c r="P13" s="95" t="n"/>
      <c r="Q13" s="95" t="n"/>
      <c r="R13" s="95" t="n"/>
      <c r="S13" s="95" t="n"/>
      <c r="T13" s="16" t="n"/>
      <c r="U13" s="34" t="n"/>
      <c r="Y13" s="122" t="inlineStr">
        <is>
          <t>D</t>
        </is>
      </c>
      <c r="Z13" s="122" t="inlineStr">
        <is>
          <t>E</t>
        </is>
      </c>
      <c r="AA13" s="122" t="inlineStr">
        <is>
          <t>F</t>
        </is>
      </c>
      <c r="AB13" s="122" t="inlineStr">
        <is>
          <t>G</t>
        </is>
      </c>
      <c r="AC13" s="122" t="inlineStr">
        <is>
          <t>H</t>
        </is>
      </c>
      <c r="AD13" s="122" t="inlineStr">
        <is>
          <t>I</t>
        </is>
      </c>
      <c r="AE13" s="122" t="inlineStr">
        <is>
          <t>Total</t>
        </is>
      </c>
      <c r="AF13" s="122" t="n"/>
      <c r="AG13" s="122" t="inlineStr">
        <is>
          <t>Very or somewhat aligned</t>
        </is>
      </c>
      <c r="AH13" s="122" t="n"/>
      <c r="AI13" s="122" t="n"/>
      <c r="AJ13" s="122" t="n"/>
      <c r="AK13" s="122" t="n"/>
      <c r="AL13" s="122" t="n"/>
      <c r="AM13" s="122" t="n"/>
      <c r="AN13" s="122" t="n"/>
      <c r="AO13" s="122" t="n"/>
      <c r="AP13" s="122" t="n"/>
      <c r="AQ13" s="122" t="n"/>
      <c r="AR13" s="123" t="n"/>
      <c r="AS13" s="94" t="n"/>
      <c r="AT13" s="94" t="n"/>
      <c r="AU13" s="94" t="n"/>
    </row>
    <row r="14" ht="24.9" customHeight="1" s="59" thickBot="1" thickTop="1">
      <c r="B14" s="186" t="inlineStr">
        <is>
          <t>Indian Seed Fund</t>
        </is>
      </c>
      <c r="C14" s="47" t="inlineStr">
        <is>
          <t>Rate alignment
(dropdown menu):</t>
        </is>
      </c>
      <c r="D14" s="24" t="inlineStr">
        <is>
          <t>Very Aligned</t>
        </is>
      </c>
      <c r="E14" s="24" t="inlineStr">
        <is>
          <t>Very Aligned</t>
        </is>
      </c>
      <c r="F14" s="24" t="inlineStr">
        <is>
          <t>Very Aligned</t>
        </is>
      </c>
      <c r="G14" s="24" t="inlineStr">
        <is>
          <t>Don't Know</t>
        </is>
      </c>
      <c r="H14" s="24" t="inlineStr">
        <is>
          <t>Somewhat Aligned</t>
        </is>
      </c>
      <c r="I14" s="24" t="inlineStr">
        <is>
          <t>Very Aligned</t>
        </is>
      </c>
      <c r="J14" s="24" t="inlineStr">
        <is>
          <t>Very Aligned</t>
        </is>
      </c>
      <c r="K14" s="24" t="inlineStr">
        <is>
          <t>Don't Know</t>
        </is>
      </c>
      <c r="L14" s="24" t="inlineStr">
        <is>
          <t>Very Aligned</t>
        </is>
      </c>
      <c r="M14" s="24" t="inlineStr">
        <is>
          <t>Very Aligned</t>
        </is>
      </c>
      <c r="N14" s="24" t="inlineStr">
        <is>
          <t>Somewhat Aligned</t>
        </is>
      </c>
      <c r="O14" s="24" t="inlineStr">
        <is>
          <t>Very Aligned</t>
        </is>
      </c>
      <c r="P14" s="24" t="inlineStr">
        <is>
          <t>Very Aligned</t>
        </is>
      </c>
      <c r="Q14" s="24" t="inlineStr">
        <is>
          <t>Very Aligned</t>
        </is>
      </c>
      <c r="R14" s="24" t="inlineStr">
        <is>
          <t>Somewhat Aligned</t>
        </is>
      </c>
      <c r="S14" s="25" t="inlineStr">
        <is>
          <t>Very Aligned</t>
        </is>
      </c>
      <c r="U14" s="155">
        <f>IF(AE14=6,"Yes","No")</f>
        <v/>
      </c>
      <c r="V14" s="156">
        <f>CONCATENATE(AQ15,"/", AQ9)</f>
        <v/>
      </c>
      <c r="W14" s="156">
        <f>CONCATENATE(AQ14,"/", "10")</f>
        <v/>
      </c>
      <c r="Y14" s="122">
        <f>IF(OR(D14=Dropdowns!$B$1,D14=Dropdowns!$B$2),1,0)</f>
        <v/>
      </c>
      <c r="Z14" s="122">
        <f>IF(OR(E14=Dropdowns!$B$1,E14=Dropdowns!$B$2),1,0)</f>
        <v/>
      </c>
      <c r="AA14" s="122">
        <f>IF(OR(F14=Dropdowns!$B$1,F14=Dropdowns!$B$2),1,0)</f>
        <v/>
      </c>
      <c r="AB14" s="122">
        <f>IF(OR(G14=Dropdowns!$B$1,G14=Dropdowns!$B$2),1,0)</f>
        <v/>
      </c>
      <c r="AC14" s="122">
        <f>IF(OR(H14=Dropdowns!$B$1,H14=Dropdowns!$B$2),1,0)</f>
        <v/>
      </c>
      <c r="AD14" s="122">
        <f>IF(OR(I14=Dropdowns!$B$1,I14=Dropdowns!$B$2),1,0)</f>
        <v/>
      </c>
      <c r="AE14" s="122">
        <f>SUM(Y14:AD14)</f>
        <v/>
      </c>
      <c r="AG14" s="122">
        <f>IF(OR(J14=Dropdowns!$B$1,J14=Dropdowns!$B$2),1,0)</f>
        <v/>
      </c>
      <c r="AH14" s="122">
        <f>IF(OR(K14=Dropdowns!$B$1,K14=Dropdowns!$B$2),1,0)</f>
        <v/>
      </c>
      <c r="AI14" s="122">
        <f>IF(OR(L14=Dropdowns!$B$1,L14=Dropdowns!$B$2),1,0)</f>
        <v/>
      </c>
      <c r="AJ14" s="122">
        <f>IF(OR(M14=Dropdowns!$B$1,M14=Dropdowns!$B$2),1,0)</f>
        <v/>
      </c>
      <c r="AK14" s="122">
        <f>IF(OR(N14=Dropdowns!$B$1,N14=Dropdowns!$B$2),1,0)</f>
        <v/>
      </c>
      <c r="AL14" s="122">
        <f>IF(OR(O14=Dropdowns!$B$1,O14=Dropdowns!$B$2),1,0)</f>
        <v/>
      </c>
      <c r="AM14" s="122">
        <f>IF(OR(P14=Dropdowns!$B$1,P14=Dropdowns!$B$2),1,0)</f>
        <v/>
      </c>
      <c r="AN14" s="122">
        <f>IF(OR(Q14=Dropdowns!$B$1,Q14=Dropdowns!$B$2),1,0)</f>
        <v/>
      </c>
      <c r="AO14" s="122">
        <f>IF(OR(R14=Dropdowns!$B$1,R14=Dropdowns!$B$2),1,0)</f>
        <v/>
      </c>
      <c r="AP14" s="122">
        <f>IF(OR(S14=Dropdowns!$B$1,S14=Dropdowns!$B$2),1,0)</f>
        <v/>
      </c>
      <c r="AQ14" s="120">
        <f>SUM(AG14:AP14)</f>
        <v/>
      </c>
      <c r="AS14" s="89" t="n"/>
      <c r="AT14" s="89" t="n"/>
      <c r="AU14" s="89" t="n"/>
    </row>
    <row r="15" ht="65.09999999999999" customHeight="1" s="59" thickBot="1" thickTop="1">
      <c r="B15" s="187" t="n"/>
      <c r="C15" s="48" t="inlineStr">
        <is>
          <t>Notes/comments on investor alignment:</t>
        </is>
      </c>
      <c r="D15" s="26" t="inlineStr">
        <is>
          <t>Focused on India</t>
        </is>
      </c>
      <c r="E15" s="26" t="inlineStr">
        <is>
          <t>Fund for profits</t>
        </is>
      </c>
      <c r="F15" s="26" t="inlineStr">
        <is>
          <t>$100,000-300,000</t>
        </is>
      </c>
      <c r="G15" s="26" t="inlineStr">
        <is>
          <t>Don't know if they'll agree with our return forecasts</t>
        </is>
      </c>
      <c r="H15" s="26" t="inlineStr">
        <is>
          <t>Only do equity</t>
        </is>
      </c>
      <c r="I15" s="26" t="inlineStr">
        <is>
          <t>Do early stage</t>
        </is>
      </c>
      <c r="J15" s="26" t="inlineStr">
        <is>
          <t>Health for low income communities is a focus</t>
        </is>
      </c>
      <c r="K15" s="26" t="inlineStr">
        <is>
          <t>Not sure if our model would resonate with them</t>
        </is>
      </c>
      <c r="L15" s="26" t="inlineStr">
        <is>
          <t>They would probably want board seat</t>
        </is>
      </c>
      <c r="M15" s="26" t="inlineStr">
        <is>
          <t>Geography and sector match</t>
        </is>
      </c>
      <c r="N15" s="26" t="inlineStr">
        <is>
          <t>They are financial first, so probably wouldn't expect a lot of impact metrics yet</t>
        </is>
      </c>
      <c r="O15" s="26" t="inlineStr">
        <is>
          <t>Would have lots of connections in India and with health</t>
        </is>
      </c>
      <c r="P15" s="26" t="inlineStr">
        <is>
          <t>Focused on India</t>
        </is>
      </c>
      <c r="Q15" s="26" t="inlineStr">
        <is>
          <t>Health is a focus</t>
        </is>
      </c>
      <c r="R15" s="26" t="inlineStr">
        <is>
          <t>Would they see us as seed stage, or are we still too early?</t>
        </is>
      </c>
      <c r="S15" s="27" t="inlineStr">
        <is>
          <t>Think it will look good for us</t>
        </is>
      </c>
      <c r="U15" s="188" t="n"/>
      <c r="V15" s="188" t="n"/>
      <c r="W15" s="188" t="n"/>
      <c r="AG15" s="122">
        <f>IF(AG9=1,AG14,0)</f>
        <v/>
      </c>
      <c r="AH15" s="122">
        <f>IF(AH9=1,AH14,0)</f>
        <v/>
      </c>
      <c r="AI15" s="122">
        <f>IF(AI9=1,AI14,0)</f>
        <v/>
      </c>
      <c r="AJ15" s="122">
        <f>IF(AJ9=1,AJ14,0)</f>
        <v/>
      </c>
      <c r="AK15" s="122">
        <f>IF(AK9=1,AK14,0)</f>
        <v/>
      </c>
      <c r="AL15" s="122">
        <f>IF(AL9=1,AL14,0)</f>
        <v/>
      </c>
      <c r="AM15" s="122">
        <f>IF(AM9=1,AM14,0)</f>
        <v/>
      </c>
      <c r="AN15" s="122">
        <f>IF(AN9=1,AN14,0)</f>
        <v/>
      </c>
      <c r="AO15" s="122">
        <f>IF(AO9=1,AO14,0)</f>
        <v/>
      </c>
      <c r="AP15" s="122">
        <f>IF(AP9=1,AP14,0)</f>
        <v/>
      </c>
      <c r="AQ15" s="120">
        <f>SUM(AG15:AP15)</f>
        <v/>
      </c>
      <c r="AS15" s="89" t="n"/>
      <c r="AT15" s="89" t="n"/>
      <c r="AU15" s="89" t="n"/>
    </row>
    <row r="16" ht="6" customHeight="1" s="59" thickBot="1">
      <c r="A16" s="4" t="n"/>
      <c r="B16" s="55" t="n"/>
      <c r="C16" s="50" t="n"/>
      <c r="D16" s="96" t="n"/>
      <c r="E16" s="96" t="n"/>
      <c r="F16" s="96" t="n"/>
      <c r="G16" s="96" t="n"/>
      <c r="H16" s="96" t="n"/>
      <c r="I16" s="96" t="n"/>
      <c r="J16" s="96" t="n"/>
      <c r="K16" s="96" t="n"/>
      <c r="L16" s="96" t="n"/>
      <c r="M16" s="96" t="n"/>
      <c r="N16" s="96" t="n"/>
      <c r="O16" s="96" t="n"/>
      <c r="P16" s="96" t="n"/>
      <c r="Q16" s="96" t="n"/>
      <c r="R16" s="96" t="n"/>
      <c r="S16" s="96" t="n"/>
      <c r="U16" s="35" t="n"/>
      <c r="Y16" s="122" t="inlineStr">
        <is>
          <t>D</t>
        </is>
      </c>
      <c r="Z16" s="122" t="inlineStr">
        <is>
          <t>E</t>
        </is>
      </c>
      <c r="AA16" s="122" t="inlineStr">
        <is>
          <t>F</t>
        </is>
      </c>
      <c r="AB16" s="122" t="inlineStr">
        <is>
          <t>G</t>
        </is>
      </c>
      <c r="AC16" s="122" t="inlineStr">
        <is>
          <t>H</t>
        </is>
      </c>
      <c r="AD16" s="122" t="inlineStr">
        <is>
          <t>I</t>
        </is>
      </c>
      <c r="AE16" s="122" t="inlineStr">
        <is>
          <t>Total</t>
        </is>
      </c>
      <c r="AG16" s="122" t="inlineStr">
        <is>
          <t>Very or somewhat aligned</t>
        </is>
      </c>
      <c r="AS16" s="89" t="n"/>
      <c r="AT16" s="89" t="n"/>
      <c r="AU16" s="89" t="n"/>
    </row>
    <row r="17" ht="24.9" customHeight="1" s="59" thickBot="1" thickTop="1">
      <c r="B17" s="186" t="inlineStr">
        <is>
          <t>Riser Equity</t>
        </is>
      </c>
      <c r="C17" s="47" t="inlineStr">
        <is>
          <t>Rate alignment
(dropdown menu):</t>
        </is>
      </c>
      <c r="D17" s="24" t="inlineStr">
        <is>
          <t>Very Aligned</t>
        </is>
      </c>
      <c r="E17" s="24" t="inlineStr">
        <is>
          <t>Very Aligned</t>
        </is>
      </c>
      <c r="F17" s="24" t="inlineStr">
        <is>
          <t>Somewhat Aligned</t>
        </is>
      </c>
      <c r="G17" s="24" t="inlineStr">
        <is>
          <t>Not Aligned</t>
        </is>
      </c>
      <c r="H17" s="24" t="inlineStr">
        <is>
          <t>Somewhat Aligned</t>
        </is>
      </c>
      <c r="I17" s="24" t="inlineStr">
        <is>
          <t>Not Aligned</t>
        </is>
      </c>
      <c r="J17" s="24" t="inlineStr">
        <is>
          <t>Very Aligned</t>
        </is>
      </c>
      <c r="K17" s="24" t="inlineStr">
        <is>
          <t>Don't Know</t>
        </is>
      </c>
      <c r="L17" s="24" t="inlineStr">
        <is>
          <t>Very Aligned</t>
        </is>
      </c>
      <c r="M17" s="24" t="inlineStr">
        <is>
          <t>Very Aligned</t>
        </is>
      </c>
      <c r="N17" s="24" t="inlineStr">
        <is>
          <t>Don't Know</t>
        </is>
      </c>
      <c r="O17" s="24" t="inlineStr">
        <is>
          <t>Very Aligned</t>
        </is>
      </c>
      <c r="P17" s="24" t="inlineStr">
        <is>
          <t>Very Aligned</t>
        </is>
      </c>
      <c r="Q17" s="24" t="inlineStr">
        <is>
          <t>Very Aligned</t>
        </is>
      </c>
      <c r="R17" s="24" t="inlineStr">
        <is>
          <t>Not Aligned</t>
        </is>
      </c>
      <c r="S17" s="25" t="inlineStr">
        <is>
          <t>Very Aligned</t>
        </is>
      </c>
      <c r="U17" s="155">
        <f>IF(AE17=6,"Yes","No")</f>
        <v/>
      </c>
      <c r="V17" s="156">
        <f>CONCATENATE(AQ18,"/", AQ9)</f>
        <v/>
      </c>
      <c r="W17" s="156">
        <f>CONCATENATE(AQ17,"/", "10")</f>
        <v/>
      </c>
      <c r="Y17" s="122">
        <f>IF(OR(D17=Dropdowns!$B$1,D17=Dropdowns!$B$2),1,0)</f>
        <v/>
      </c>
      <c r="Z17" s="122">
        <f>IF(OR(E17=Dropdowns!$B$1,E17=Dropdowns!$B$2),1,0)</f>
        <v/>
      </c>
      <c r="AA17" s="122">
        <f>IF(OR(F17=Dropdowns!$B$1,F17=Dropdowns!$B$2),1,0)</f>
        <v/>
      </c>
      <c r="AB17" s="122">
        <f>IF(OR(G17=Dropdowns!$B$1,G17=Dropdowns!$B$2),1,0)</f>
        <v/>
      </c>
      <c r="AC17" s="122">
        <f>IF(OR(H17=Dropdowns!$B$1,H17=Dropdowns!$B$2),1,0)</f>
        <v/>
      </c>
      <c r="AD17" s="122">
        <f>IF(OR(I17=Dropdowns!$B$1,I17=Dropdowns!$B$2),1,0)</f>
        <v/>
      </c>
      <c r="AE17" s="122">
        <f>SUM(Y17:AD17)</f>
        <v/>
      </c>
      <c r="AG17" s="122">
        <f>IF(OR(J17=Dropdowns!$B$1,J17=Dropdowns!$B$2),1,0)</f>
        <v/>
      </c>
      <c r="AH17" s="122">
        <f>IF(OR(K17=Dropdowns!$B$1,K17=Dropdowns!$B$2),1,0)</f>
        <v/>
      </c>
      <c r="AI17" s="122">
        <f>IF(OR(L17=Dropdowns!$B$1,L17=Dropdowns!$B$2),1,0)</f>
        <v/>
      </c>
      <c r="AJ17" s="122">
        <f>IF(OR(M17=Dropdowns!$B$1,M17=Dropdowns!$B$2),1,0)</f>
        <v/>
      </c>
      <c r="AK17" s="122">
        <f>IF(OR(N17=Dropdowns!$B$1,N17=Dropdowns!$B$2),1,0)</f>
        <v/>
      </c>
      <c r="AL17" s="122">
        <f>IF(OR(O17=Dropdowns!$B$1,O17=Dropdowns!$B$2),1,0)</f>
        <v/>
      </c>
      <c r="AM17" s="122">
        <f>IF(OR(P17=Dropdowns!$B$1,P17=Dropdowns!$B$2),1,0)</f>
        <v/>
      </c>
      <c r="AN17" s="122">
        <f>IF(OR(Q17=Dropdowns!$B$1,Q17=Dropdowns!$B$2),1,0)</f>
        <v/>
      </c>
      <c r="AO17" s="122">
        <f>IF(OR(R17=Dropdowns!$B$1,R17=Dropdowns!$B$2),1,0)</f>
        <v/>
      </c>
      <c r="AP17" s="122">
        <f>IF(OR(S17=Dropdowns!$B$1,S17=Dropdowns!$B$2),1,0)</f>
        <v/>
      </c>
      <c r="AQ17" s="120">
        <f>SUM(AG17:AP17)</f>
        <v/>
      </c>
      <c r="AS17" s="89" t="n"/>
      <c r="AT17" s="89" t="n"/>
      <c r="AU17" s="89" t="n"/>
    </row>
    <row r="18" ht="65.09999999999999" customHeight="1" s="59" thickBot="1" thickTop="1">
      <c r="B18" s="187" t="n"/>
      <c r="C18" s="48" t="inlineStr">
        <is>
          <t>Notes/comments on investor alignment:</t>
        </is>
      </c>
      <c r="D18" s="26" t="inlineStr">
        <is>
          <t>Funds in India</t>
        </is>
      </c>
      <c r="E18" s="26" t="inlineStr">
        <is>
          <t>Funds for profits</t>
        </is>
      </c>
      <c r="F18" s="26" t="inlineStr">
        <is>
          <t>$200,000-2,000,000</t>
        </is>
      </c>
      <c r="G18" s="26" t="inlineStr">
        <is>
          <t>Expects market returns and we're not there yet</t>
        </is>
      </c>
      <c r="H18" s="26" t="inlineStr">
        <is>
          <t>Only do equity</t>
        </is>
      </c>
      <c r="I18" s="26" t="inlineStr">
        <is>
          <t>We're too early for them</t>
        </is>
      </c>
      <c r="J18" s="26" t="inlineStr">
        <is>
          <t>They focus on bringing essential services to underserved</t>
        </is>
      </c>
      <c r="K18" s="26" t="inlineStr">
        <is>
          <t>Not sure if our model would resonate with them</t>
        </is>
      </c>
      <c r="L18" s="26" t="inlineStr">
        <is>
          <t>They would want a board seat</t>
        </is>
      </c>
      <c r="M18" s="26" t="inlineStr">
        <is>
          <t>Probably wouldn't be any restrictions on use of equity funds</t>
        </is>
      </c>
      <c r="N18" s="26" t="inlineStr">
        <is>
          <t>Not sure what they would want from us on this</t>
        </is>
      </c>
      <c r="O18" s="26" t="inlineStr">
        <is>
          <t>Probably have connections to geography and industry expertise</t>
        </is>
      </c>
      <c r="P18" s="26" t="inlineStr">
        <is>
          <t>India is a geography focus for them</t>
        </is>
      </c>
      <c r="Q18" s="26" t="inlineStr">
        <is>
          <t>Health is an industry focus for them</t>
        </is>
      </c>
      <c r="R18" s="26" t="inlineStr">
        <is>
          <t>We're probably too early - they may not help test a model, but would help scale a working model</t>
        </is>
      </c>
      <c r="S18" s="27" t="inlineStr">
        <is>
          <t>They're respected investors, so I think it would help future raises</t>
        </is>
      </c>
      <c r="U18" s="188" t="n"/>
      <c r="V18" s="188" t="n"/>
      <c r="W18" s="188" t="n"/>
      <c r="AG18" s="122">
        <f>IF(AG9=1,AG17,0)</f>
        <v/>
      </c>
      <c r="AH18" s="122">
        <f>IF(AH9=1,AH17,0)</f>
        <v/>
      </c>
      <c r="AI18" s="122">
        <f>IF(AI9=1,AI17,0)</f>
        <v/>
      </c>
      <c r="AJ18" s="122">
        <f>IF(AJ9=1,AJ17,0)</f>
        <v/>
      </c>
      <c r="AK18" s="122">
        <f>IF(AK9=1,AK17,0)</f>
        <v/>
      </c>
      <c r="AL18" s="122">
        <f>IF(AL9=1,AL17,0)</f>
        <v/>
      </c>
      <c r="AM18" s="122">
        <f>IF(AM9=1,AM17,0)</f>
        <v/>
      </c>
      <c r="AN18" s="122">
        <f>IF(AN9=1,AN17,0)</f>
        <v/>
      </c>
      <c r="AO18" s="122">
        <f>IF(AO9=1,AO17,0)</f>
        <v/>
      </c>
      <c r="AP18" s="122">
        <f>IF(AP9=1,AP17,0)</f>
        <v/>
      </c>
      <c r="AQ18" s="120">
        <f>SUM(AG18:AP18)</f>
        <v/>
      </c>
      <c r="AS18" s="89" t="n"/>
      <c r="AT18" s="89" t="n"/>
      <c r="AU18" s="89" t="n"/>
    </row>
    <row r="19" ht="6" customHeight="1" s="59" thickBot="1">
      <c r="A19" s="4" t="n"/>
      <c r="B19" s="55" t="n"/>
      <c r="C19" s="50" t="n"/>
      <c r="D19" s="95" t="n"/>
      <c r="E19" s="95" t="n"/>
      <c r="F19" s="95" t="n"/>
      <c r="G19" s="95" t="n"/>
      <c r="H19" s="95" t="n"/>
      <c r="I19" s="95" t="n"/>
      <c r="J19" s="95" t="n"/>
      <c r="K19" s="95" t="n"/>
      <c r="L19" s="95" t="n"/>
      <c r="M19" s="95" t="n"/>
      <c r="N19" s="95" t="n"/>
      <c r="O19" s="95" t="n"/>
      <c r="P19" s="95" t="n"/>
      <c r="Q19" s="95" t="n"/>
      <c r="R19" s="95" t="n"/>
      <c r="S19" s="95" t="n"/>
      <c r="U19" s="35" t="n"/>
      <c r="Y19" s="122" t="inlineStr">
        <is>
          <t>D</t>
        </is>
      </c>
      <c r="Z19" s="122" t="inlineStr">
        <is>
          <t>E</t>
        </is>
      </c>
      <c r="AA19" s="122" t="inlineStr">
        <is>
          <t>F</t>
        </is>
      </c>
      <c r="AB19" s="122" t="inlineStr">
        <is>
          <t>G</t>
        </is>
      </c>
      <c r="AC19" s="122" t="inlineStr">
        <is>
          <t>H</t>
        </is>
      </c>
      <c r="AD19" s="122" t="inlineStr">
        <is>
          <t>I</t>
        </is>
      </c>
      <c r="AE19" s="122" t="inlineStr">
        <is>
          <t>Total</t>
        </is>
      </c>
      <c r="AG19" s="122" t="inlineStr">
        <is>
          <t>Very or somewhat aligned</t>
        </is>
      </c>
      <c r="AS19" s="89" t="n"/>
      <c r="AT19" s="89" t="n"/>
      <c r="AU19" s="89" t="n"/>
    </row>
    <row r="20" ht="24.9" customHeight="1" s="59" thickBot="1" thickTop="1">
      <c r="B20" s="186" t="inlineStr">
        <is>
          <t>Crescent Foundation</t>
        </is>
      </c>
      <c r="C20" s="47" t="inlineStr">
        <is>
          <t>Rate alignment
(dropdown menu):</t>
        </is>
      </c>
      <c r="D20" s="24" t="inlineStr">
        <is>
          <t>Very Aligned</t>
        </is>
      </c>
      <c r="E20" s="24" t="inlineStr">
        <is>
          <t>Very Aligned</t>
        </is>
      </c>
      <c r="F20" s="24" t="inlineStr">
        <is>
          <t>Somewhat Aligned</t>
        </is>
      </c>
      <c r="G20" s="24" t="inlineStr">
        <is>
          <t>Very Aligned</t>
        </is>
      </c>
      <c r="H20" s="24" t="inlineStr">
        <is>
          <t>Very Aligned</t>
        </is>
      </c>
      <c r="I20" s="24" t="inlineStr">
        <is>
          <t>Very Aligned</t>
        </is>
      </c>
      <c r="J20" s="24" t="inlineStr">
        <is>
          <t>Not Aligned</t>
        </is>
      </c>
      <c r="K20" s="24" t="inlineStr">
        <is>
          <t>Not Aligned</t>
        </is>
      </c>
      <c r="L20" s="24" t="inlineStr">
        <is>
          <t>Very Aligned</t>
        </is>
      </c>
      <c r="M20" s="24" t="inlineStr">
        <is>
          <t>Not Aligned</t>
        </is>
      </c>
      <c r="N20" s="24" t="inlineStr">
        <is>
          <t>Don't Know</t>
        </is>
      </c>
      <c r="O20" s="24" t="inlineStr">
        <is>
          <t>Somewhat Aligned</t>
        </is>
      </c>
      <c r="P20" s="24" t="inlineStr">
        <is>
          <t>Very Aligned</t>
        </is>
      </c>
      <c r="Q20" s="24" t="inlineStr">
        <is>
          <t>Not Aligned</t>
        </is>
      </c>
      <c r="R20" s="24" t="inlineStr">
        <is>
          <t>Somewhat Aligned</t>
        </is>
      </c>
      <c r="S20" s="25" t="inlineStr">
        <is>
          <t>Very Aligned</t>
        </is>
      </c>
      <c r="U20" s="155">
        <f>IF(AE20=6,"Yes","No")</f>
        <v/>
      </c>
      <c r="V20" s="156">
        <f>CONCATENATE(AQ21,"/", AQ9)</f>
        <v/>
      </c>
      <c r="W20" s="156">
        <f>CONCATENATE(AQ20,"/", "10")</f>
        <v/>
      </c>
      <c r="Y20" s="122">
        <f>IF(OR(D20=Dropdowns!$B$1,D20=Dropdowns!$B$2),1,0)</f>
        <v/>
      </c>
      <c r="Z20" s="122">
        <f>IF(OR(E20=Dropdowns!$B$1,E20=Dropdowns!$B$2),1,0)</f>
        <v/>
      </c>
      <c r="AA20" s="122">
        <f>IF(OR(F20=Dropdowns!$B$1,F20=Dropdowns!$B$2),1,0)</f>
        <v/>
      </c>
      <c r="AB20" s="122">
        <f>IF(OR(G20=Dropdowns!$B$1,G20=Dropdowns!$B$2),1,0)</f>
        <v/>
      </c>
      <c r="AC20" s="122">
        <f>IF(OR(H20=Dropdowns!$B$1,H20=Dropdowns!$B$2),1,0)</f>
        <v/>
      </c>
      <c r="AD20" s="122">
        <f>IF(OR(I20=Dropdowns!$B$1,I20=Dropdowns!$B$2),1,0)</f>
        <v/>
      </c>
      <c r="AE20" s="122">
        <f>SUM(Y20:AD20)</f>
        <v/>
      </c>
      <c r="AG20" s="122">
        <f>IF(OR(J20=Dropdowns!$B$1,J20=Dropdowns!$B$2),1,0)</f>
        <v/>
      </c>
      <c r="AH20" s="122">
        <f>IF(OR(K20=Dropdowns!$B$1,K20=Dropdowns!$B$2),1,0)</f>
        <v/>
      </c>
      <c r="AI20" s="122">
        <f>IF(OR(L20=Dropdowns!$B$1,L20=Dropdowns!$B$2),1,0)</f>
        <v/>
      </c>
      <c r="AJ20" s="122">
        <f>IF(OR(M20=Dropdowns!$B$1,M20=Dropdowns!$B$2),1,0)</f>
        <v/>
      </c>
      <c r="AK20" s="122">
        <f>IF(OR(N20=Dropdowns!$B$1,N20=Dropdowns!$B$2),1,0)</f>
        <v/>
      </c>
      <c r="AL20" s="122">
        <f>IF(OR(O20=Dropdowns!$B$1,O20=Dropdowns!$B$2),1,0)</f>
        <v/>
      </c>
      <c r="AM20" s="122">
        <f>IF(OR(P20=Dropdowns!$B$1,P20=Dropdowns!$B$2),1,0)</f>
        <v/>
      </c>
      <c r="AN20" s="122">
        <f>IF(OR(Q20=Dropdowns!$B$1,Q20=Dropdowns!$B$2),1,0)</f>
        <v/>
      </c>
      <c r="AO20" s="122">
        <f>IF(OR(R20=Dropdowns!$B$1,R20=Dropdowns!$B$2),1,0)</f>
        <v/>
      </c>
      <c r="AP20" s="122">
        <f>IF(OR(S20=Dropdowns!$B$1,S20=Dropdowns!$B$2),1,0)</f>
        <v/>
      </c>
      <c r="AQ20" s="120">
        <f>SUM(AG20:AP20)</f>
        <v/>
      </c>
      <c r="AS20" s="89" t="n"/>
      <c r="AT20" s="89" t="n"/>
      <c r="AU20" s="89" t="n"/>
    </row>
    <row r="21" ht="65.09999999999999" customHeight="1" s="59" thickBot="1" thickTop="1">
      <c r="B21" s="187" t="n"/>
      <c r="C21" s="48" t="inlineStr">
        <is>
          <t>Notes/comments on investor alignment:</t>
        </is>
      </c>
      <c r="D21" s="26" t="inlineStr">
        <is>
          <t>Funds in India</t>
        </is>
      </c>
      <c r="E21" s="26" t="inlineStr">
        <is>
          <t>Funds for profits</t>
        </is>
      </c>
      <c r="F21" s="26" t="inlineStr">
        <is>
          <t>Grants are $100,000-$150,000. Equity isn't clear.</t>
        </is>
      </c>
      <c r="G21" s="26" t="inlineStr">
        <is>
          <t>"Social return first"</t>
        </is>
      </c>
      <c r="H21" s="26" t="inlineStr">
        <is>
          <t>Grants and Equity</t>
        </is>
      </c>
      <c r="I21" s="26" t="inlineStr">
        <is>
          <t>Early stage</t>
        </is>
      </c>
      <c r="J21" s="26" t="inlineStr">
        <is>
          <t>Don't seem to do health, and focus on urban poor not rural</t>
        </is>
      </c>
      <c r="K21" s="26" t="inlineStr">
        <is>
          <t>Haven't supported health venture before</t>
        </is>
      </c>
      <c r="L21" s="26" t="inlineStr">
        <is>
          <t>Probably no governance requirements</t>
        </is>
      </c>
      <c r="M21" s="26" t="inlineStr">
        <is>
          <t>May require a focus on urban poor, not rural</t>
        </is>
      </c>
      <c r="N21" s="26" t="inlineStr">
        <is>
          <t>Don't know what they require</t>
        </is>
      </c>
      <c r="O21" s="26" t="inlineStr">
        <is>
          <t>Not sure how extensive their network is, but this is low priority for us</t>
        </is>
      </c>
      <c r="P21" s="26" t="inlineStr">
        <is>
          <t>Experience in India</t>
        </is>
      </c>
      <c r="Q21" s="26" t="inlineStr">
        <is>
          <t>Don't seem to do health</t>
        </is>
      </c>
      <c r="R21" s="26" t="inlineStr">
        <is>
          <t>Have supported early stage ventures testing model, but not our type of model</t>
        </is>
      </c>
      <c r="S21" s="27" t="inlineStr">
        <is>
          <t>Don't think it will affect future raises</t>
        </is>
      </c>
      <c r="U21" s="188" t="n"/>
      <c r="V21" s="188" t="n"/>
      <c r="W21" s="188" t="n"/>
      <c r="AG21" s="122">
        <f>IF(AG9=1,AG20,0)</f>
        <v/>
      </c>
      <c r="AH21" s="122">
        <f>IF(AH9=1,AH20,0)</f>
        <v/>
      </c>
      <c r="AI21" s="122">
        <f>IF(AI9=1,AI20,0)</f>
        <v/>
      </c>
      <c r="AJ21" s="122">
        <f>IF(AJ9=1,AJ20,0)</f>
        <v/>
      </c>
      <c r="AK21" s="122">
        <f>IF(AK9=1,AK20,0)</f>
        <v/>
      </c>
      <c r="AL21" s="122">
        <f>IF(AL9=1,AL20,0)</f>
        <v/>
      </c>
      <c r="AM21" s="122">
        <f>IF(AM9=1,AM20,0)</f>
        <v/>
      </c>
      <c r="AN21" s="122">
        <f>IF(AN9=1,AN20,0)</f>
        <v/>
      </c>
      <c r="AO21" s="122">
        <f>IF(AO9=1,AO20,0)</f>
        <v/>
      </c>
      <c r="AP21" s="122">
        <f>IF(AP9=1,AP20,0)</f>
        <v/>
      </c>
      <c r="AQ21" s="120">
        <f>SUM(AG21:AP21)</f>
        <v/>
      </c>
      <c r="AS21" s="89" t="n"/>
      <c r="AT21" s="89" t="n"/>
      <c r="AU21" s="89" t="n"/>
    </row>
    <row r="22" ht="6" customHeight="1" s="59">
      <c r="A22" s="4" t="n"/>
      <c r="B22" s="55" t="n"/>
      <c r="C22" s="50" t="n"/>
      <c r="D22" s="95" t="n"/>
      <c r="E22" s="95" t="n"/>
      <c r="F22" s="95" t="n"/>
      <c r="G22" s="95" t="n"/>
      <c r="H22" s="95" t="n"/>
      <c r="I22" s="16" t="n"/>
      <c r="J22" s="16" t="n"/>
      <c r="K22" s="16" t="n"/>
      <c r="L22" s="16" t="n"/>
      <c r="M22" s="16" t="n"/>
      <c r="N22" s="16" t="n"/>
      <c r="O22" s="16" t="n"/>
      <c r="P22" s="16" t="n"/>
      <c r="Q22" s="16" t="n"/>
      <c r="R22" s="16" t="n"/>
      <c r="S22" s="16" t="n"/>
      <c r="U22" s="35" t="n"/>
      <c r="Y22" s="122" t="inlineStr">
        <is>
          <t>D</t>
        </is>
      </c>
      <c r="Z22" s="122" t="inlineStr">
        <is>
          <t>E</t>
        </is>
      </c>
      <c r="AA22" s="122" t="inlineStr">
        <is>
          <t>F</t>
        </is>
      </c>
      <c r="AB22" s="122" t="inlineStr">
        <is>
          <t>G</t>
        </is>
      </c>
      <c r="AC22" s="122" t="inlineStr">
        <is>
          <t>H</t>
        </is>
      </c>
      <c r="AD22" s="122" t="inlineStr">
        <is>
          <t>I</t>
        </is>
      </c>
      <c r="AE22" s="122" t="inlineStr">
        <is>
          <t>Total</t>
        </is>
      </c>
      <c r="AG22" s="122" t="inlineStr">
        <is>
          <t>Very or somewhat aligned</t>
        </is>
      </c>
    </row>
  </sheetData>
  <mergeCells count="30">
    <mergeCell ref="U11:U12"/>
    <mergeCell ref="J5:K5"/>
    <mergeCell ref="B1:D1"/>
    <mergeCell ref="L5:N5"/>
    <mergeCell ref="B17:B18"/>
    <mergeCell ref="U17:U18"/>
    <mergeCell ref="B11:B12"/>
    <mergeCell ref="B8:B9"/>
    <mergeCell ref="W20:W21"/>
    <mergeCell ref="B14:B15"/>
    <mergeCell ref="B3:C7"/>
    <mergeCell ref="O5:S5"/>
    <mergeCell ref="D9:I9"/>
    <mergeCell ref="V11:V12"/>
    <mergeCell ref="W11:W12"/>
    <mergeCell ref="U14:U15"/>
    <mergeCell ref="Y9:AE9"/>
    <mergeCell ref="U8:U9"/>
    <mergeCell ref="W14:W15"/>
    <mergeCell ref="B10:C10"/>
    <mergeCell ref="W8:W9"/>
    <mergeCell ref="D5:I5"/>
    <mergeCell ref="W17:W18"/>
    <mergeCell ref="B20:B21"/>
    <mergeCell ref="U20:U21"/>
    <mergeCell ref="V8:V9"/>
    <mergeCell ref="V17:V18"/>
    <mergeCell ref="U5:W6"/>
    <mergeCell ref="V20:V21"/>
    <mergeCell ref="V14:V15"/>
  </mergeCells>
  <conditionalFormatting sqref="J9:S9">
    <cfRule type="cellIs" priority="4" operator="equal" dxfId="384">
      <formula>0</formula>
    </cfRule>
    <cfRule type="containsText" priority="5766" operator="containsText" dxfId="385" text="High">
      <formula>NOT(ISERROR(SEARCH("High",J9)))</formula>
    </cfRule>
  </conditionalFormatting>
  <conditionalFormatting sqref="D8:S8">
    <cfRule type="cellIs" priority="5" operator="equal" dxfId="384">
      <formula>0</formula>
    </cfRule>
  </conditionalFormatting>
  <pageMargins left="0.7" right="0.7" top="0.75" bottom="0.75" header="0.3" footer="0.3"/>
  <pageSetup orientation="landscape" scale="72" fitToWidth="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5"/>
  <sheetViews>
    <sheetView zoomScale="130" zoomScaleNormal="130" workbookViewId="0">
      <selection activeCell="C21" sqref="C21"/>
    </sheetView>
  </sheetViews>
  <sheetFormatPr baseColWidth="8" defaultColWidth="8.88671875" defaultRowHeight="14.4"/>
  <cols>
    <col width="22.6640625" customWidth="1" style="59" min="2" max="2"/>
    <col width="17.88671875" customWidth="1" style="59" min="3" max="3"/>
    <col width="36.109375" customWidth="1" style="59" min="4" max="4"/>
  </cols>
  <sheetData>
    <row r="1">
      <c r="A1" t="inlineStr">
        <is>
          <t>High</t>
        </is>
      </c>
      <c r="B1" t="inlineStr">
        <is>
          <t>Very Aligned</t>
        </is>
      </c>
      <c r="C1" t="inlineStr">
        <is>
          <t>Possible</t>
        </is>
      </c>
      <c r="D1" t="inlineStr">
        <is>
          <t>Investor Type (choose from dropdown)</t>
        </is>
      </c>
    </row>
    <row r="2">
      <c r="A2" t="inlineStr">
        <is>
          <t>Medium</t>
        </is>
      </c>
      <c r="B2" t="inlineStr">
        <is>
          <t>Somewhat Aligned</t>
        </is>
      </c>
      <c r="C2" t="inlineStr">
        <is>
          <t>Probably</t>
        </is>
      </c>
      <c r="D2" t="inlineStr">
        <is>
          <t>Angel</t>
        </is>
      </c>
    </row>
    <row r="3">
      <c r="A3" t="inlineStr">
        <is>
          <t>Low</t>
        </is>
      </c>
      <c r="B3" t="inlineStr">
        <is>
          <t>Not Aligned</t>
        </is>
      </c>
      <c r="C3" t="inlineStr">
        <is>
          <t>Likely</t>
        </is>
      </c>
      <c r="D3" t="inlineStr">
        <is>
          <t>Friends &amp; Family</t>
        </is>
      </c>
    </row>
    <row r="4">
      <c r="A4" t="inlineStr">
        <is>
          <t>N/A</t>
        </is>
      </c>
      <c r="B4" t="inlineStr">
        <is>
          <t>Don't Know</t>
        </is>
      </c>
      <c r="D4" t="inlineStr">
        <is>
          <t>Family Office</t>
        </is>
      </c>
    </row>
    <row r="5">
      <c r="B5" t="inlineStr">
        <is>
          <t>N/A</t>
        </is>
      </c>
      <c r="D5" t="inlineStr">
        <is>
          <t>Community or Family Foundation</t>
        </is>
      </c>
    </row>
    <row r="6">
      <c r="D6" t="inlineStr">
        <is>
          <t>CDFI or DFI</t>
        </is>
      </c>
    </row>
    <row r="7">
      <c r="D7" t="inlineStr">
        <is>
          <t>Private Foundation</t>
        </is>
      </c>
    </row>
    <row r="8">
      <c r="D8" t="inlineStr">
        <is>
          <t>Government</t>
        </is>
      </c>
    </row>
    <row r="9">
      <c r="D9" t="inlineStr">
        <is>
          <t>International NGO</t>
        </is>
      </c>
    </row>
    <row r="10">
      <c r="D10" t="inlineStr">
        <is>
          <t>Corporate</t>
        </is>
      </c>
    </row>
    <row r="11">
      <c r="D11" t="inlineStr">
        <is>
          <t>Investment Fund</t>
        </is>
      </c>
    </row>
    <row r="12">
      <c r="D12" t="inlineStr">
        <is>
          <t>Institutional Investor or Bank</t>
        </is>
      </c>
    </row>
    <row r="13">
      <c r="D13" t="inlineStr">
        <is>
          <t>Fellowship, Incubator, or Accelerator</t>
        </is>
      </c>
    </row>
    <row r="14">
      <c r="D14" t="inlineStr">
        <is>
          <t>Crowdfunding platform</t>
        </is>
      </c>
    </row>
    <row r="15">
      <c r="D15" t="inlineStr">
        <is>
          <t>Other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kbl10</dc:creator>
  <dcterms:created xmlns:dcterms="http://purl.org/dc/terms/" xmlns:xsi="http://www.w3.org/2001/XMLSchema-instance" xsi:type="dcterms:W3CDTF">2017-01-09T21:30:18Z</dcterms:created>
  <dcterms:modified xmlns:dcterms="http://purl.org/dc/terms/" xmlns:xsi="http://www.w3.org/2001/XMLSchema-instance" xsi:type="dcterms:W3CDTF">2026-06-13T05:06:42Z</dcterms:modified>
  <cp:lastModifiedBy>Administrator</cp:lastModifiedBy>
  <cp:lastPrinted>2017-05-09T20:05:24Z</cp:lastPrinted>
</cp:coreProperties>
</file>