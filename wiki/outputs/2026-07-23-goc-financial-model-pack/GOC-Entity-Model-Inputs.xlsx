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d001613c544a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668d97df41184dde"/>
    <x:sheet xmlns:r="http://schemas.openxmlformats.org/officeDocument/2006/relationships" name="Notes" sheetId="2" r:id="R9044eaee99434675"/>
    <x:sheet xmlns:r="http://schemas.openxmlformats.org/officeDocument/2006/relationships" name="Known Other Costs" sheetId="3" r:id="Rb983e35e7ccb461e"/>
    <x:sheet xmlns:r="http://schemas.openxmlformats.org/officeDocument/2006/relationships" name="Open Questions" sheetId="4" r:id="Rf3ef2de104f146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;($#,##0);-"/>
    <x:numFmt numFmtId="201" formatCode="#,##0"/>
  </x:numFmts>
  <x:fonts count="24">
    <x:font>
      <x:sz val="11"/>
      <x:color theme="1"/>
      <x:name val="Calibri"/>
    </x:font>
    <x:font>
      <x:b/>
      <x:sz val="13"/>
    </x:font>
    <x:font>
      <x:sz val="9"/>
      <x:color rgb="FF666666"/>
    </x:font>
    <x:font>
      <x:b/>
      <x:sz val="11"/>
      <x:color rgb="FFFFFFFF"/>
    </x:font>
    <x:font>
      <x:b/>
    </x:font>
    <x:font>
      <x:color rgb="FF0000CC"/>
    </x:font>
    <x:font>
      <x:b/>
      <x:sz val="13"/>
      <x:name val="Arial"/>
    </x:font>
    <x:font>
      <x:sz val="11"/>
      <x:color theme="1"/>
      <x:name val="Arial"/>
    </x:font>
    <x:font>
      <x:sz val="9"/>
      <x:color rgb="FF666666"/>
      <x:name val="Arial"/>
    </x:font>
    <x:font>
      <x:b/>
      <x:sz val="11"/>
      <x:color rgb="FFFFFFFF"/>
      <x:name val="Arial"/>
    </x:font>
    <x:font>
      <x:b/>
      <x:name val="Arial"/>
    </x:font>
    <x:font>
      <x:color rgb="FF0000CC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b/>
      <x:sz val="14"/>
      <x:color rgb="FF000000"/>
      <x:name val="Arial"/>
    </x:font>
    <x:font>
      <x:b/>
      <x:sz val="9"/>
      <x:color rgb="FF595959"/>
      <x:name val="Arial"/>
    </x:font>
    <x:font>
      <x:sz val="10"/>
      <x:color rgb="FF0000CC"/>
      <x:name val="Arial"/>
    </x:font>
    <x:font>
      <x:sz val="9"/>
      <x:color rgb="FF595959"/>
      <x:name val="Arial"/>
    </x:font>
    <x:font>
      <x:b/>
      <x:sz val="11"/>
      <x:color rgb="FF000000"/>
      <x:name val="Arial"/>
    </x:font>
    <x:font>
      <x:sz val="9"/>
      <x:color rgb="FF000000"/>
      <x:name val="Arial"/>
    </x:font>
    <x:font>
      <x:i/>
      <x:sz val="9"/>
      <x:color rgb="FF595959"/>
      <x:name val="Arial"/>
    </x:font>
    <x:font>
      <x:b/>
      <x:sz val="9"/>
      <x:color rgb="FF000000"/>
      <x:name val="Arial"/>
    </x:font>
    <x:font>
      <x:b/>
      <x:sz val="9"/>
      <x:color rgb="FFFFFFFF"/>
      <x:name val="Arial"/>
    </x:font>
    <x:font>
      <x:sz val="9"/>
      <x:color rgb="FF0000CC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rgb="FF2E5395"/>
      </x:patternFill>
    </x:fill>
    <x:fill>
      <x:patternFill patternType="solid">
        <x:fgColor rgb="FF1F4E5F"/>
      </x:patternFill>
    </x:fill>
    <x:fill>
      <x:patternFill patternType="solid">
        <x:fgColor rgb="FFD9E7F3"/>
      </x:patternFill>
    </x:fill>
    <x:fill>
      <x:patternFill patternType="solid">
        <x:fgColor rgb="FF1F4E5F"/>
      </x:patternFill>
    </x:fill>
    <x:fill>
      <x:patternFill patternType="solid">
        <x:fgColor rgb="FFD9E7F3"/>
      </x:patternFill>
    </x:fill>
    <x:fill>
      <x:patternFill patternType="solid">
        <x:fgColor rgb="FFF4CCCC"/>
      </x:patternFill>
    </x:fill>
    <x:fill>
      <x:patternFill patternType="solid">
        <x:fgColor rgb="FFFCE5CD"/>
      </x:patternFill>
    </x:fill>
    <x:fill>
      <x:patternFill patternType="solid">
        <x:fgColor rgb="FFFFF2CC"/>
      </x:patternFill>
    </x:fill>
    <x:fill>
      <x:patternFill patternType="solid">
        <x:fgColor rgb="FF1F4E5F"/>
      </x:patternFill>
    </x:fill>
    <x:fill>
      <x:patternFill patternType="solid">
        <x:fgColor rgb="FFD9E7F3"/>
      </x:patternFill>
    </x:fill>
    <x:fill>
      <x:patternFill patternType="solid">
        <x:fgColor rgb="FFF4CCCC"/>
      </x:patternFill>
    </x:fill>
    <x:fill>
      <x:patternFill patternType="solid">
        <x:fgColor rgb="FFFCE5CD"/>
      </x:patternFill>
    </x:fill>
    <x:fill>
      <x:patternFill patternType="solid">
        <x:fgColor rgb="FFFFF2CC"/>
      </x:patternFill>
    </x:fill>
  </x:fills>
  <x:borders count="10">
    <x:border/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158">
    <x:xf numFmtId="0" fontId="0" fillId="0" borderId="0" xfId="0"/>
    <x:xf numFmtId="0" fontId="1" fillId="0" borderId="0" xfId="0"/>
    <x:xf numFmtId="0" fontId="2" fillId="0" borderId="0" xfId="0" applyAlignment="1">
      <x:alignment wrapText="1"/>
    </x:xf>
    <x:xf numFmtId="0" fontId="3" fillId="2" borderId="0" xfId="0"/>
    <x:xf numFmtId="0" fontId="0" fillId="2" borderId="0" xfId="0"/>
    <x:xf numFmtId="0" fontId="4" fillId="0" borderId="0" xfId="0"/>
    <x:xf numFmtId="3" fontId="5" fillId="0" borderId="0" xfId="0"/>
    <x:xf numFmtId="0" fontId="2" fillId="0" borderId="0" xfId="0"/>
    <x:xf numFmtId="3" fontId="4" fillId="0" borderId="0" xfId="0"/>
    <x:xf numFmtId="9" fontId="5" fillId="0" borderId="0" xfId="0"/>
    <x:xf numFmtId="1" fontId="5" fillId="0" borderId="0" xfId="0"/>
    <x:xf numFmtId="2" fontId="5" fillId="0" borderId="0" xfId="0"/>
    <x:xf numFmtId="0" fontId="4" fillId="0" borderId="0" xfId="0" applyAlignment="1">
      <x:alignment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/>
    <x:xf numFmtId="0" fontId="7" fillId="2" borderId="0" xfId="0" applyNumberFormat="1" applyFont="1" applyFill="1" applyBorder="1"/>
    <x:xf numFmtId="0" fontId="10" fillId="0" borderId="0" xfId="0" applyNumberFormat="1" applyFont="1" applyFill="1" applyBorder="1"/>
    <x:xf numFmtId="3" fontId="11" fillId="0" borderId="0" xfId="0" applyNumberFormat="1" applyFont="1" applyFill="1" applyBorder="1"/>
    <x:xf numFmtId="0" fontId="8" fillId="0" borderId="0" xfId="0" applyNumberFormat="1" applyFont="1" applyFill="1" applyBorder="1"/>
    <x:xf numFmtId="3" fontId="10" fillId="0" borderId="0" xfId="0" applyNumberFormat="1" applyFont="1" applyFill="1" applyBorder="1"/>
    <x:xf numFmtId="9" fontId="11" fillId="0" borderId="0" xfId="0" applyNumberFormat="1" applyFont="1" applyFill="1" applyBorder="1"/>
    <x:xf numFmtId="1" fontId="11" fillId="0" borderId="0" xfId="0" applyNumberFormat="1" applyFont="1" applyFill="1" applyBorder="1"/>
    <x:xf numFmtId="2" fontId="11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/>
    <x:xf numFmtId="0" fontId="13" fillId="2" borderId="0" xfId="0" applyNumberFormat="1" applyFont="1" applyFill="1" applyBorder="1"/>
    <x:xf numFmtId="3" fontId="13" fillId="0" borderId="0" xfId="0" applyNumberFormat="1" applyFont="1" applyFill="1" applyBorder="1"/>
    <x:xf numFmtId="3" fontId="12" fillId="0" borderId="0" xfId="0" applyNumberFormat="1" applyFont="1" applyFill="1" applyBorder="1"/>
    <x:xf numFmtId="9" fontId="13" fillId="0" borderId="0" xfId="0" applyNumberFormat="1" applyFont="1" applyFill="1" applyBorder="1"/>
    <x:xf numFmtId="1" fontId="13" fillId="0" borderId="0" xfId="0" applyNumberFormat="1" applyFont="1" applyFill="1" applyBorder="1"/>
    <x:xf numFmtId="2" fontId="13" fillId="0" borderId="0" xfId="0" applyNumberFormat="1" applyFont="1" applyFill="1" applyBorder="1"/>
    <x:xf numFmtId="0" fontId="14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/>
    <x:xf numFmtId="0" fontId="12" fillId="3" borderId="0" xfId="0" applyNumberFormat="1" applyFont="1" applyFill="1" applyBorder="1"/>
    <x:xf numFmtId="0" fontId="13" fillId="3" borderId="0" xfId="0" applyNumberFormat="1" applyFont="1" applyFill="1" applyBorder="1"/>
    <x:xf numFmtId="0" fontId="9" fillId="3" borderId="0" xfId="0" applyNumberFormat="1" applyFont="1" applyFill="1" applyBorder="1"/>
    <x:xf numFmtId="0" fontId="12" fillId="4" borderId="0" xfId="0" applyNumberFormat="1" applyFont="1" applyFill="1" applyBorder="1"/>
    <x:xf numFmtId="3" fontId="12" fillId="4" borderId="0" xfId="0" applyNumberFormat="1" applyFont="1" applyFill="1" applyBorder="1"/>
    <x:xf numFmtId="0" fontId="13" fillId="4" borderId="0" xfId="0" applyNumberFormat="1" applyFont="1" applyFill="1" applyBorder="1"/>
    <x:xf numFmtId="3" fontId="16" fillId="0" borderId="0" xfId="0" applyNumberFormat="1" applyFont="1" applyFill="1" applyBorder="1"/>
    <x:xf numFmtId="9" fontId="16" fillId="0" borderId="0" xfId="0" applyNumberFormat="1" applyFont="1" applyFill="1" applyBorder="1"/>
    <x:xf numFmtId="1" fontId="16" fillId="0" borderId="0" xfId="0" applyNumberFormat="1" applyFont="1" applyFill="1" applyBorder="1"/>
    <x:xf numFmtId="2" fontId="16" fillId="0" borderId="0" xfId="0" applyNumberFormat="1" applyFont="1" applyFill="1" applyBorder="1"/>
    <x:xf numFmtId="0" fontId="17" fillId="0" borderId="0" xfId="0" applyNumberFormat="1" applyFont="1" applyFill="1" applyBorder="1"/>
    <x:xf numFmtId="0" fontId="17" fillId="0" borderId="0" xfId="0" applyNumberFormat="1" applyFont="1" applyFill="1" applyBorder="1" applyAlignment="1">
      <x:alignment wrapText="1"/>
    </x:xf>
    <x:xf numFmtId="0" fontId="15" fillId="4" borderId="0" xfId="0" applyNumberFormat="1" applyFont="1" applyFill="1" applyBorder="1"/>
    <x:xf numFmtId="0" fontId="15" fillId="3" borderId="0" xfId="0" applyNumberFormat="1" applyFont="1" applyFill="1" applyBorder="1"/>
    <x:xf numFmtId="0" fontId="15" fillId="4" borderId="0" xfId="0" applyNumberFormat="1" applyFont="1" applyFill="1" applyBorder="1" applyAlignment="1">
      <x:alignment wrapText="1"/>
    </x:xf>
    <x:xf numFmtId="0" fontId="15" fillId="3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wrapText="1"/>
    </x:xf>
    <x:xf numFmtId="0" fontId="18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0" fontId="12" fillId="5" borderId="0" xfId="0" applyNumberFormat="1" applyFont="1" applyFill="1" applyBorder="1"/>
    <x:xf numFmtId="0" fontId="9" fillId="5" borderId="0" xfId="0" applyNumberFormat="1" applyFont="1" applyFill="1" applyBorder="1"/>
    <x:xf numFmtId="0" fontId="12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12" fillId="6" borderId="0" xfId="0" applyNumberFormat="1" applyFont="1" applyFill="1" applyBorder="1"/>
    <x:xf numFmtId="0" fontId="12" fillId="6" borderId="0" xfId="0" applyNumberFormat="1" applyFont="1" applyFill="1" applyBorder="1" applyAlignment="1">
      <x:alignment wrapText="1"/>
    </x:xf>
    <x:xf numFmtId="3" fontId="12" fillId="6" borderId="0" xfId="0" applyNumberFormat="1" applyFont="1" applyFill="1" applyBorder="1"/>
    <x:xf numFmtId="0" fontId="15" fillId="6" borderId="0" xfId="0" applyNumberFormat="1" applyFont="1" applyFill="1" applyBorder="1"/>
    <x:xf numFmtId="0" fontId="15" fillId="6" borderId="0" xfId="0" applyNumberFormat="1" applyFont="1" applyFill="1" applyBorder="1" applyAlignment="1">
      <x:alignment wrapText="1"/>
    </x:xf>
    <x:xf numFmtId="0" fontId="15" fillId="5" borderId="0" xfId="0" applyNumberFormat="1" applyFont="1" applyFill="1" applyBorder="1"/>
    <x:xf numFmtId="0" fontId="15" fillId="5" borderId="0" xfId="0" applyNumberFormat="1" applyFont="1" applyFill="1" applyBorder="1" applyAlignment="1">
      <x:alignment wrapText="1"/>
    </x:xf>
    <x:xf numFmtId="0" fontId="19" fillId="0" borderId="0" xfId="0" applyNumberFormat="1" applyFont="1" applyFill="1" applyBorder="1"/>
    <x:xf numFmtId="0" fontId="20" fillId="0" borderId="0" xfId="0" applyNumberFormat="1" applyFont="1" applyFill="1" applyBorder="1"/>
    <x:xf numFmtId="0" fontId="20" fillId="0" borderId="0" xfId="0" applyNumberFormat="1" applyFont="1" applyFill="1" applyBorder="1" applyAlignment="1">
      <x:alignment wrapText="1"/>
    </x:xf>
    <x:xf numFmtId="0" fontId="14" fillId="0" borderId="1" xfId="0" applyNumberFormat="1" applyFont="1" applyFill="1" applyBorder="1"/>
    <x:xf numFmtId="0" fontId="14" fillId="0" borderId="2" xfId="0" applyNumberFormat="1" applyFont="1" applyFill="1" applyBorder="1"/>
    <x:xf numFmtId="0" fontId="14" fillId="0" borderId="3" xfId="0" applyNumberFormat="1" applyFont="1" applyFill="1" applyBorder="1"/>
    <x:xf numFmtId="0" fontId="20" fillId="0" borderId="4" xfId="0" applyNumberFormat="1" applyFont="1" applyFill="1" applyBorder="1" applyAlignment="1">
      <x:alignment wrapText="1"/>
    </x:xf>
    <x:xf numFmtId="0" fontId="20" fillId="0" borderId="5" xfId="0" applyNumberFormat="1" applyFont="1" applyFill="1" applyBorder="1" applyAlignment="1">
      <x:alignment wrapText="1"/>
    </x:xf>
    <x:xf numFmtId="0" fontId="20" fillId="0" borderId="6" xfId="0" applyNumberFormat="1" applyFont="1" applyFill="1" applyBorder="1" applyAlignment="1">
      <x:alignment wrapText="1"/>
    </x:xf>
    <x:xf numFmtId="0" fontId="19" fillId="0" borderId="4" xfId="0" applyNumberFormat="1" applyFont="1" applyFill="1" applyBorder="1"/>
    <x:xf numFmtId="0" fontId="19" fillId="0" borderId="5" xfId="0" applyNumberFormat="1" applyFont="1" applyFill="1" applyBorder="1"/>
    <x:xf numFmtId="0" fontId="19" fillId="0" borderId="6" xfId="0" applyNumberFormat="1" applyFont="1" applyFill="1" applyBorder="1"/>
    <x:xf numFmtId="0" fontId="19" fillId="0" borderId="7" xfId="0" applyNumberFormat="1" applyFont="1" applyFill="1" applyBorder="1"/>
    <x:xf numFmtId="0" fontId="19" fillId="0" borderId="8" xfId="0" applyNumberFormat="1" applyFont="1" applyFill="1" applyBorder="1"/>
    <x:xf numFmtId="0" fontId="19" fillId="0" borderId="9" xfId="0" applyNumberFormat="1" applyFont="1" applyFill="1" applyBorder="1"/>
    <x:xf numFmtId="0" fontId="14" fillId="0" borderId="1" xfId="0" applyNumberFormat="1" applyFont="1" applyFill="1" applyBorder="1" applyAlignment="1">
      <x:alignment wrapText="1"/>
    </x:xf>
    <x:xf numFmtId="0" fontId="14" fillId="0" borderId="2" xfId="0" applyNumberFormat="1" applyFont="1" applyFill="1" applyBorder="1" applyAlignment="1">
      <x:alignment wrapText="1"/>
    </x:xf>
    <x:xf numFmtId="0" fontId="14" fillId="0" borderId="3" xfId="0" applyNumberFormat="1" applyFont="1" applyFill="1" applyBorder="1" applyAlignment="1">
      <x:alignment wrapText="1"/>
    </x:xf>
    <x:xf numFmtId="0" fontId="19" fillId="0" borderId="4" xfId="0" applyNumberFormat="1" applyFont="1" applyFill="1" applyBorder="1" applyAlignment="1">
      <x:alignment wrapText="1"/>
    </x:xf>
    <x:xf numFmtId="0" fontId="19" fillId="0" borderId="5" xfId="0" applyNumberFormat="1" applyFont="1" applyFill="1" applyBorder="1" applyAlignment="1">
      <x:alignment wrapText="1"/>
    </x:xf>
    <x:xf numFmtId="0" fontId="19" fillId="0" borderId="6" xfId="0" applyNumberFormat="1" applyFont="1" applyFill="1" applyBorder="1" applyAlignment="1">
      <x:alignment wrapText="1"/>
    </x:xf>
    <x:xf numFmtId="0" fontId="19" fillId="0" borderId="7" xfId="0" applyNumberFormat="1" applyFont="1" applyFill="1" applyBorder="1" applyAlignment="1">
      <x:alignment wrapText="1"/>
    </x:xf>
    <x:xf numFmtId="0" fontId="19" fillId="0" borderId="8" xfId="0" applyNumberFormat="1" applyFont="1" applyFill="1" applyBorder="1" applyAlignment="1">
      <x:alignment wrapText="1"/>
    </x:xf>
    <x:xf numFmtId="0" fontId="19" fillId="0" borderId="9" xfId="0" applyNumberFormat="1" applyFont="1" applyFill="1" applyBorder="1" applyAlignment="1">
      <x:alignment wrapText="1"/>
    </x:xf>
    <x:xf numFmtId="0" fontId="19" fillId="5" borderId="4" xfId="0" applyNumberFormat="1" applyFont="1" applyFill="1" applyBorder="1" applyAlignment="1">
      <x:alignment wrapText="1"/>
    </x:xf>
    <x:xf numFmtId="0" fontId="19" fillId="5" borderId="5" xfId="0" applyNumberFormat="1" applyFont="1" applyFill="1" applyBorder="1" applyAlignment="1">
      <x:alignment wrapText="1"/>
    </x:xf>
    <x:xf numFmtId="0" fontId="19" fillId="5" borderId="6" xfId="0" applyNumberFormat="1" applyFont="1" applyFill="1" applyBorder="1" applyAlignment="1">
      <x:alignment wrapText="1"/>
    </x:xf>
    <x:xf numFmtId="0" fontId="9" fillId="5" borderId="4" xfId="0" applyNumberFormat="1" applyFont="1" applyFill="1" applyBorder="1" applyAlignment="1">
      <x:alignment wrapText="1"/>
    </x:xf>
    <x:xf numFmtId="0" fontId="9" fillId="5" borderId="5" xfId="0" applyNumberFormat="1" applyFont="1" applyFill="1" applyBorder="1" applyAlignment="1">
      <x:alignment wrapText="1"/>
    </x:xf>
    <x:xf numFmtId="0" fontId="9" fillId="5" borderId="6" xfId="0" applyNumberFormat="1" applyFont="1" applyFill="1" applyBorder="1" applyAlignment="1">
      <x:alignment wrapText="1"/>
    </x:xf>
    <x:xf numFmtId="0" fontId="19" fillId="6" borderId="4" xfId="0" applyNumberFormat="1" applyFont="1" applyFill="1" applyBorder="1" applyAlignment="1">
      <x:alignment wrapText="1"/>
    </x:xf>
    <x:xf numFmtId="0" fontId="19" fillId="6" borderId="5" xfId="0" applyNumberFormat="1" applyFont="1" applyFill="1" applyBorder="1" applyAlignment="1">
      <x:alignment wrapText="1"/>
    </x:xf>
    <x:xf numFmtId="0" fontId="19" fillId="6" borderId="6" xfId="0" applyNumberFormat="1" applyFont="1" applyFill="1" applyBorder="1" applyAlignment="1">
      <x:alignment wrapText="1"/>
    </x:xf>
    <x:xf numFmtId="0" fontId="21" fillId="6" borderId="4" xfId="0" applyNumberFormat="1" applyFont="1" applyFill="1" applyBorder="1" applyAlignment="1">
      <x:alignment wrapText="1"/>
    </x:xf>
    <x:xf numFmtId="0" fontId="21" fillId="6" borderId="5" xfId="0" applyNumberFormat="1" applyFont="1" applyFill="1" applyBorder="1" applyAlignment="1">
      <x:alignment wrapText="1"/>
    </x:xf>
    <x:xf numFmtId="0" fontId="21" fillId="6" borderId="6" xfId="0" applyNumberFormat="1" applyFont="1" applyFill="1" applyBorder="1" applyAlignment="1">
      <x:alignment wrapText="1"/>
    </x:xf>
    <x:xf numFmtId="0" fontId="21" fillId="0" borderId="4" xfId="0" applyNumberFormat="1" applyFont="1" applyFill="1" applyBorder="1" applyAlignment="1">
      <x:alignment wrapText="1"/>
    </x:xf>
    <x:xf numFmtId="0" fontId="21" fillId="0" borderId="5" xfId="0" applyNumberFormat="1" applyFont="1" applyFill="1" applyBorder="1" applyAlignment="1">
      <x:alignment wrapText="1"/>
    </x:xf>
    <x:xf numFmtId="0" fontId="21" fillId="0" borderId="6" xfId="0" applyNumberFormat="1" applyFont="1" applyFill="1" applyBorder="1" applyAlignment="1">
      <x:alignment wrapText="1"/>
    </x:xf>
    <x:xf numFmtId="200" fontId="19" fillId="0" borderId="5" xfId="0" applyNumberFormat="1" applyFont="1" applyFill="1" applyBorder="1" applyAlignment="1">
      <x:alignment wrapText="1"/>
    </x:xf>
    <x:xf numFmtId="200" fontId="9" fillId="5" borderId="5" xfId="0" applyNumberFormat="1" applyFont="1" applyFill="1" applyBorder="1" applyAlignment="1">
      <x:alignment wrapText="1"/>
    </x:xf>
    <x:xf numFmtId="200" fontId="21" fillId="6" borderId="5" xfId="0" applyNumberFormat="1" applyFont="1" applyFill="1" applyBorder="1" applyAlignment="1">
      <x:alignment wrapText="1"/>
    </x:xf>
    <x:xf numFmtId="200" fontId="21" fillId="0" borderId="5" xfId="0" applyNumberFormat="1" applyFont="1" applyFill="1" applyBorder="1" applyAlignment="1">
      <x:alignment wrapText="1"/>
    </x:xf>
    <x:xf numFmtId="200" fontId="19" fillId="0" borderId="8" xfId="0" applyNumberFormat="1" applyFont="1" applyFill="1" applyBorder="1" applyAlignment="1">
      <x:alignment wrapText="1"/>
    </x:xf>
    <x:xf numFmtId="0" fontId="22" fillId="5" borderId="4" xfId="0" applyNumberFormat="1" applyFont="1" applyFill="1" applyBorder="1" applyAlignment="1">
      <x:alignment wrapText="1"/>
    </x:xf>
    <x:xf numFmtId="0" fontId="22" fillId="5" borderId="5" xfId="0" applyNumberFormat="1" applyFont="1" applyFill="1" applyBorder="1" applyAlignment="1">
      <x:alignment wrapText="1"/>
    </x:xf>
    <x:xf numFmtId="0" fontId="22" fillId="5" borderId="6" xfId="0" applyNumberFormat="1" applyFont="1" applyFill="1" applyBorder="1" applyAlignment="1">
      <x:alignment wrapText="1"/>
    </x:xf>
    <x:xf numFmtId="0" fontId="23" fillId="0" borderId="5" xfId="0" applyNumberFormat="1" applyFont="1" applyFill="1" applyBorder="1" applyAlignment="1">
      <x:alignment wrapText="1"/>
    </x:xf>
    <x:xf numFmtId="0" fontId="23" fillId="0" borderId="8" xfId="0" applyNumberFormat="1" applyFont="1" applyFill="1" applyBorder="1" applyAlignment="1">
      <x:alignment wrapText="1"/>
    </x:xf>
    <x:xf numFmtId="200" fontId="23" fillId="0" borderId="5" xfId="0" applyNumberFormat="1" applyFont="1" applyFill="1" applyBorder="1" applyAlignment="1">
      <x:alignment wrapText="1"/>
    </x:xf>
    <x:xf numFmtId="0" fontId="19" fillId="7" borderId="4" xfId="0" applyNumberFormat="1" applyFont="1" applyFill="1" applyBorder="1" applyAlignment="1">
      <x:alignment wrapText="1"/>
    </x:xf>
    <x:xf numFmtId="0" fontId="19" fillId="8" borderId="4" xfId="0" applyNumberFormat="1" applyFont="1" applyFill="1" applyBorder="1" applyAlignment="1">
      <x:alignment wrapText="1"/>
    </x:xf>
    <x:xf numFmtId="0" fontId="19" fillId="9" borderId="4" xfId="0" applyNumberFormat="1" applyFont="1" applyFill="1" applyBorder="1" applyAlignment="1">
      <x:alignment wrapText="1"/>
    </x:xf>
    <x:xf numFmtId="0" fontId="19" fillId="9" borderId="7" xfId="0" applyNumberFormat="1" applyFont="1" applyFill="1" applyBorder="1" applyAlignment="1">
      <x:alignment wrapText="1"/>
    </x:xf>
    <x:xf numFmtId="0" fontId="12" fillId="10" borderId="0" xfId="0" applyNumberFormat="1" applyFont="1" applyFill="1" applyBorder="1"/>
    <x:xf numFmtId="0" fontId="9" fillId="10" borderId="0" xfId="0" applyNumberFormat="1" applyFont="1" applyFill="1" applyBorder="1"/>
    <x:xf numFmtId="0" fontId="12" fillId="10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/>
    <x:xf numFmtId="0" fontId="12" fillId="11" borderId="0" xfId="0" applyNumberFormat="1" applyFont="1" applyFill="1" applyBorder="1" applyAlignment="1">
      <x:alignment wrapText="1"/>
    </x:xf>
    <x:xf numFmtId="3" fontId="12" fillId="11" borderId="0" xfId="0" applyNumberFormat="1" applyFont="1" applyFill="1" applyBorder="1"/>
    <x:xf numFmtId="0" fontId="15" fillId="11" borderId="0" xfId="0" applyNumberFormat="1" applyFont="1" applyFill="1" applyBorder="1"/>
    <x:xf numFmtId="0" fontId="15" fillId="11" borderId="0" xfId="0" applyNumberFormat="1" applyFont="1" applyFill="1" applyBorder="1" applyAlignment="1">
      <x:alignment wrapText="1"/>
    </x:xf>
    <x:xf numFmtId="0" fontId="15" fillId="10" borderId="0" xfId="0" applyNumberFormat="1" applyFont="1" applyFill="1" applyBorder="1"/>
    <x:xf numFmtId="0" fontId="15" fillId="10" borderId="0" xfId="0" applyNumberFormat="1" applyFont="1" applyFill="1" applyBorder="1" applyAlignment="1">
      <x:alignment wrapText="1"/>
    </x:xf>
    <x:xf numFmtId="0" fontId="19" fillId="10" borderId="4" xfId="0" applyNumberFormat="1" applyFont="1" applyFill="1" applyBorder="1" applyAlignment="1">
      <x:alignment wrapText="1"/>
    </x:xf>
    <x:xf numFmtId="0" fontId="19" fillId="10" borderId="5" xfId="0" applyNumberFormat="1" applyFont="1" applyFill="1" applyBorder="1" applyAlignment="1">
      <x:alignment wrapText="1"/>
    </x:xf>
    <x:xf numFmtId="0" fontId="19" fillId="10" borderId="6" xfId="0" applyNumberFormat="1" applyFont="1" applyFill="1" applyBorder="1" applyAlignment="1">
      <x:alignment wrapText="1"/>
    </x:xf>
    <x:xf numFmtId="0" fontId="9" fillId="10" borderId="4" xfId="0" applyNumberFormat="1" applyFont="1" applyFill="1" applyBorder="1" applyAlignment="1">
      <x:alignment wrapText="1"/>
    </x:xf>
    <x:xf numFmtId="0" fontId="9" fillId="10" borderId="5" xfId="0" applyNumberFormat="1" applyFont="1" applyFill="1" applyBorder="1" applyAlignment="1">
      <x:alignment wrapText="1"/>
    </x:xf>
    <x:xf numFmtId="0" fontId="9" fillId="10" borderId="6" xfId="0" applyNumberFormat="1" applyFont="1" applyFill="1" applyBorder="1" applyAlignment="1">
      <x:alignment wrapText="1"/>
    </x:xf>
    <x:xf numFmtId="0" fontId="19" fillId="11" borderId="4" xfId="0" applyNumberFormat="1" applyFont="1" applyFill="1" applyBorder="1" applyAlignment="1">
      <x:alignment wrapText="1"/>
    </x:xf>
    <x:xf numFmtId="0" fontId="19" fillId="11" borderId="5" xfId="0" applyNumberFormat="1" applyFont="1" applyFill="1" applyBorder="1" applyAlignment="1">
      <x:alignment wrapText="1"/>
    </x:xf>
    <x:xf numFmtId="0" fontId="19" fillId="11" borderId="6" xfId="0" applyNumberFormat="1" applyFont="1" applyFill="1" applyBorder="1" applyAlignment="1">
      <x:alignment wrapText="1"/>
    </x:xf>
    <x:xf numFmtId="0" fontId="21" fillId="11" borderId="4" xfId="0" applyNumberFormat="1" applyFont="1" applyFill="1" applyBorder="1" applyAlignment="1">
      <x:alignment wrapText="1"/>
    </x:xf>
    <x:xf numFmtId="0" fontId="21" fillId="11" borderId="5" xfId="0" applyNumberFormat="1" applyFont="1" applyFill="1" applyBorder="1" applyAlignment="1">
      <x:alignment wrapText="1"/>
    </x:xf>
    <x:xf numFmtId="0" fontId="21" fillId="11" borderId="6" xfId="0" applyNumberFormat="1" applyFont="1" applyFill="1" applyBorder="1" applyAlignment="1">
      <x:alignment wrapText="1"/>
    </x:xf>
    <x:xf numFmtId="200" fontId="9" fillId="10" borderId="5" xfId="0" applyNumberFormat="1" applyFont="1" applyFill="1" applyBorder="1" applyAlignment="1">
      <x:alignment wrapText="1"/>
    </x:xf>
    <x:xf numFmtId="200" fontId="21" fillId="11" borderId="5" xfId="0" applyNumberFormat="1" applyFont="1" applyFill="1" applyBorder="1" applyAlignment="1">
      <x:alignment wrapText="1"/>
    </x:xf>
    <x:xf numFmtId="0" fontId="22" fillId="10" borderId="4" xfId="0" applyNumberFormat="1" applyFont="1" applyFill="1" applyBorder="1" applyAlignment="1">
      <x:alignment wrapText="1"/>
    </x:xf>
    <x:xf numFmtId="0" fontId="22" fillId="10" borderId="5" xfId="0" applyNumberFormat="1" applyFont="1" applyFill="1" applyBorder="1" applyAlignment="1">
      <x:alignment wrapText="1"/>
    </x:xf>
    <x:xf numFmtId="0" fontId="22" fillId="10" borderId="6" xfId="0" applyNumberFormat="1" applyFont="1" applyFill="1" applyBorder="1" applyAlignment="1">
      <x:alignment wrapText="1"/>
    </x:xf>
    <x:xf numFmtId="201" fontId="23" fillId="0" borderId="5" xfId="0" applyNumberFormat="1" applyFont="1" applyFill="1" applyBorder="1" applyAlignment="1">
      <x:alignment wrapText="1"/>
    </x:xf>
    <x:xf numFmtId="0" fontId="19" fillId="12" borderId="4" xfId="0" applyNumberFormat="1" applyFont="1" applyFill="1" applyBorder="1" applyAlignment="1">
      <x:alignment wrapText="1"/>
    </x:xf>
    <x:xf numFmtId="0" fontId="19" fillId="13" borderId="4" xfId="0" applyNumberFormat="1" applyFont="1" applyFill="1" applyBorder="1" applyAlignment="1">
      <x:alignment wrapText="1"/>
    </x:xf>
    <x:xf numFmtId="0" fontId="19" fillId="14" borderId="4" xfId="0" applyNumberFormat="1" applyFont="1" applyFill="1" applyBorder="1" applyAlignment="1">
      <x:alignment wrapText="1"/>
    </x:xf>
    <x:xf numFmtId="0" fontId="19" fillId="14" borderId="7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686ce8c8774244" /><Relationship Type="http://schemas.openxmlformats.org/officeDocument/2006/relationships/theme" Target="/xl/theme/theme1.xml" Id="R7c1fc00c53c34328" /><Relationship Type="http://schemas.openxmlformats.org/officeDocument/2006/relationships/sharedStrings" Target="/xl/sharedStrings.xml" Id="Rb10bcafe87a949d7" /><Relationship Type="http://schemas.openxmlformats.org/officeDocument/2006/relationships/worksheet" Target="/xl/worksheets/sheet1.xml" Id="R668d97df41184dde" /><Relationship Type="http://schemas.openxmlformats.org/officeDocument/2006/relationships/worksheet" Target="/xl/worksheets/sheet2.xml" Id="R9044eaee99434675" /><Relationship Type="http://schemas.openxmlformats.org/officeDocument/2006/relationships/worksheet" Target="/xl/worksheets/sheet3.xml" Id="Rb983e35e7ccb461e" /><Relationship Type="http://schemas.openxmlformats.org/officeDocument/2006/relationships/worksheet" Target="/xl/worksheets/sheet4.xml" Id="Rf3ef2de104f1469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6" customWidth="1"/>
    <x:col min="2" max="2" width="14" customWidth="1"/>
    <x:col min="3" max="3" width="17" customWidth="1"/>
    <x:col min="4" max="4" width="66" customWidth="1"/>
  </x:cols>
  <x:sheetData>
    <x:row r="1">
      <x:c r="A1" s="36" t="str">
        <x:v>Goods on Country: GOC Entity Model Inputs</x:v>
      </x:c>
      <x:c r="B1" s="36"/>
      <x:c r="C1" s="36"/>
      <x:c r="D1" s="36"/>
    </x:row>
    <x:row r="2" ht="58" customHeight="1">
      <x:c r="A2" s="37" t="str">
        <x:v>Blue = editable input. Black = formula. Green = link to another sheet. All AUD ex-GST unless noted. Entity-level figures for Matt's GOC-only 3-statement model. Every figure carries a status and source. See Notes for provenance.</x:v>
      </x:c>
      <x:c r="B2" s="37"/>
      <x:c r="C2" s="37"/>
      <x:c r="D2" s="37"/>
    </x:row>
    <x:row r="3">
      <x:c r="A3" s="27"/>
      <x:c r="B3" s="27"/>
      <x:c r="C3" s="27"/>
      <x:c r="D3" s="27"/>
    </x:row>
    <x:row r="4">
      <x:c r="A4" s="126" t="str">
        <x:v>1. HISTORICAL ACTUALS: GOODS CARVE-OUT (base year, FY2026)</x:v>
      </x:c>
      <x:c r="B4" s="126" t="n"/>
      <x:c r="C4" s="126" t="n"/>
      <x:c r="D4" s="126" t="n"/>
    </x:row>
    <x:row r="5">
      <x:c r="A5" s="129" t="inlineStr">
        <x:is>
          <x:t xml:space="preserve">Line item</x:t>
        </x:is>
      </x:c>
      <x:c r="B5" s="129" t="inlineStr">
        <x:is>
          <x:t xml:space="preserve">Value</x:t>
        </x:is>
      </x:c>
      <x:c r="C5" s="129" t="inlineStr">
        <x:is>
          <x:t xml:space="preserve">Status</x:t>
        </x:is>
      </x:c>
      <x:c r="D5" s="129" t="inlineStr">
        <x:is>
          <x:t xml:space="preserve">Source / notes</x:t>
        </x:is>
      </x:c>
    </x:row>
    <x:row r="6">
      <x:c r="A6" s="27" t="inlineStr">
        <x:is>
          <x:t xml:space="preserve">Revenue (accountant-signed Goods-only carve-out)</x:t>
        </x:is>
      </x:c>
      <x:c r="B6" s="45" t="n">
        <x:v>713827</x:v>
      </x:c>
      <x:c r="C6" s="49" t="inlineStr">
        <x:is>
          <x:t xml:space="preserve">accountant-signed</x:t>
        </x:is>
      </x:c>
      <x:c r="D6" s="50" t="inlineStr">
        <x:is>
          <x:t xml:space="preserve">The ONLY externally-quotable revenue figure. Never the $403,901 'surplus' (entity P&amp;L is a net loss).</x:t>
        </x:is>
      </x:c>
    </x:row>
    <x:row r="7">
      <x:c r="A7" s="27" t="inlineStr">
        <x:is>
          <x:t xml:space="preserve">Cash received (ACCREC paid)</x:t>
        </x:is>
      </x:c>
      <x:c r="B7" s="45" t="n">
        <x:v>649711</x:v>
      </x:c>
      <x:c r="C7" s="49" t="inlineStr">
        <x:is>
          <x:t xml:space="preserve">verified</x:t>
        </x:is>
      </x:c>
      <x:c r="D7" s="50" t="inlineStr">
        <x:is>
          <x:t xml:space="preserve">ACT-infra Xero, ACT-GD, 2026-05-29.</x:t>
        </x:is>
      </x:c>
    </x:row>
    <x:row r="8">
      <x:c r="A8" s="27" t="inlineStr">
        <x:is>
          <x:t xml:space="preserve">Accounts receivable (still due)</x:t>
        </x:is>
      </x:c>
      <x:c r="B8" s="45" t="n">
        <x:v>143000</x:v>
      </x:c>
      <x:c r="C8" s="49" t="inlineStr">
        <x:is>
          <x:t xml:space="preserve">workpaper</x:t>
        </x:is>
      </x:c>
      <x:c r="D8" s="50" t="inlineStr">
        <x:is>
          <x:t xml:space="preserve"/>
        </x:is>
      </x:c>
    </x:row>
    <x:row r="9">
      <x:c r="A9" s="27" t="inlineStr">
        <x:is>
          <x:t xml:space="preserve">Goods expenses (single cash basis)</x:t>
        </x:is>
      </x:c>
      <x:c r="B9" s="45" t="n">
        <x:v>309126</x:v>
      </x:c>
      <x:c r="C9" s="49" t="inlineStr">
        <x:is>
          <x:t xml:space="preserve">verified</x:t>
        </x:is>
      </x:c>
      <x:c r="D9" s="50" t="inlineStr">
        <x:is>
          <x:t xml:space="preserve">ACT-GD bank spend less 1300-Washer reclass. AP genuinely ~$0 owed (matching gap, not debt).</x:t>
        </x:is>
      </x:c>
    </x:row>
    <x:row r="10">
      <x:c r="A10" s="129" t="inlineStr">
        <x:is>
          <x:t xml:space="preserve">Operating surplus before founder time</x:t>
        </x:is>
      </x:c>
      <x:c r="B10" s="131" t="n">
        <x:f>B7-B9</x:f>
        <x:v>340585</x:v>
      </x:c>
      <x:c r="C10" s="132" t="str">
        <x:v>derived</x:v>
      </x:c>
      <x:c r="D10" s="133" t="str">
        <x:v>Cash received less Goods expenses. Model does not rely on unpaid founder time.</x:v>
      </x:c>
    </x:row>
    <x:row r="11">
      <x:c r="A11" s="27" t="inlineStr">
        <x:is>
          <x:t xml:space="preserve">Grant-funded share of revenue</x:t>
        </x:is>
      </x:c>
      <x:c r="B11" s="46" t="n">
        <x:v>0.89</x:v>
      </x:c>
      <x:c r="C11" s="49" t="inlineStr">
        <x:is>
          <x:t xml:space="preserve">verified</x:t>
        </x:is>
      </x:c>
      <x:c r="D11" s="50" t="inlineStr">
        <x:is>
          <x:t xml:space="preserve">Grant-funded social enterprise building toward commercial sustainability.</x:t>
        </x:is>
      </x:c>
    </x:row>
    <x:row r="12">
      <x:c r="A12" s="27"/>
      <x:c r="B12" s="27"/>
      <x:c r="C12" s="49"/>
      <x:c r="D12" s="50"/>
    </x:row>
    <x:row r="13">
      <x:c r="A13" s="126" t="inlineStr">
        <x:is>
          <x:t xml:space="preserve">2. OPENING BALANCE SHEET POSITION (start of forecast)</x:t>
        </x:is>
      </x:c>
      <x:c r="B13" s="126" t="n"/>
      <x:c r="C13" s="134" t="n"/>
      <x:c r="D13" s="135" t="n"/>
    </x:row>
    <x:row r="14">
      <x:c r="A14" s="129" t="inlineStr">
        <x:is>
          <x:t xml:space="preserve">Line item</x:t>
        </x:is>
      </x:c>
      <x:c r="B14" s="129" t="inlineStr">
        <x:is>
          <x:t xml:space="preserve">Value</x:t>
        </x:is>
      </x:c>
      <x:c r="C14" s="132" t="inlineStr">
        <x:is>
          <x:t xml:space="preserve">Status</x:t>
        </x:is>
      </x:c>
      <x:c r="D14" s="133" t="inlineStr">
        <x:is>
          <x:t xml:space="preserve">Source / notes</x:t>
        </x:is>
      </x:c>
    </x:row>
    <x:row r="15">
      <x:c r="A15" s="27" t="inlineStr">
        <x:is>
          <x:t xml:space="preserve">Opening cash</x:t>
        </x:is>
      </x:c>
      <x:c r="B15" s="45" t="n">
        <x:v>50000</x:v>
      </x:c>
      <x:c r="C15" s="49" t="inlineStr">
        <x:is>
          <x:t xml:space="preserve">assumption</x:t>
        </x:is>
      </x:c>
      <x:c r="D15" s="50" t="inlineStr">
        <x:is>
          <x:t xml:space="preserve">Most important single input (base placeholder). Confirm with Ben.</x:t>
        </x:is>
      </x:c>
    </x:row>
    <x:row r="16">
      <x:c r="A16" s="27" t="inlineStr">
        <x:is>
          <x:t xml:space="preserve">Plant &amp; equipment (sunk, evidenced)</x:t>
        </x:is>
      </x:c>
      <x:c r="B16" s="45" t="n">
        <x:v>75000</x:v>
      </x:c>
      <x:c r="C16" s="49" t="inlineStr">
        <x:is>
          <x:t xml:space="preserve">evidenced</x:t>
        </x:is>
      </x:c>
      <x:c r="D16" s="50" t="inlineStr">
        <x:is>
          <x:t xml:space="preserve">MVF hardware, mostly used deals (Nic). Ownership handover targeted end-Aug 2026.</x:t>
        </x:is>
      </x:c>
    </x:row>
    <x:row r="17">
      <x:c r="A17" s="27" t="inlineStr">
        <x:is>
          <x:t xml:space="preserve">Borrowings (today)</x:t>
        </x:is>
      </x:c>
      <x:c r="B17" s="45" t="n">
        <x:v>0</x:v>
      </x:c>
      <x:c r="C17" s="49" t="inlineStr">
        <x:is>
          <x:t xml:space="preserve">verified</x:t>
        </x:is>
      </x:c>
      <x:c r="D17" s="50" t="inlineStr">
        <x:is>
          <x:t xml:space="preserve">No debt; AP ~$0 owed.</x:t>
        </x:is>
      </x:c>
    </x:row>
    <x:row r="18">
      <x:c r="A18" s="129" t="inlineStr">
        <x:is>
          <x:t xml:space="preserve">Opening contributed capital</x:t>
        </x:is>
      </x:c>
      <x:c r="B18" s="131" t="n">
        <x:f>B15+B16</x:f>
        <x:v>125000</x:v>
      </x:c>
      <x:c r="C18" s="132" t="str">
        <x:v>derived</x:v>
      </x:c>
      <x:c r="D18" s="133" t="str">
        <x:v>Opening cash plus sunk plant, so the opening balance sheet balances.</x:v>
      </x:c>
    </x:row>
    <x:row r="19">
      <x:c r="A19" s="27"/>
      <x:c r="B19" s="27"/>
      <x:c r="C19" s="49"/>
      <x:c r="D19" s="50"/>
    </x:row>
    <x:row r="20">
      <x:c r="A20" s="126" t="str">
        <x:v>3. GOC OPERATING COST STRUCTURE: per year (Pot 1, production)</x:v>
      </x:c>
      <x:c r="B20" s="126" t="n"/>
      <x:c r="C20" s="134" t="n"/>
      <x:c r="D20" s="135" t="n"/>
    </x:row>
    <x:row r="21">
      <x:c r="A21" s="129" t="inlineStr">
        <x:is>
          <x:t xml:space="preserve">Line item</x:t>
        </x:is>
      </x:c>
      <x:c r="B21" s="129" t="inlineStr">
        <x:is>
          <x:t xml:space="preserve">Value</x:t>
        </x:is>
      </x:c>
      <x:c r="C21" s="132" t="inlineStr">
        <x:is>
          <x:t xml:space="preserve">Status</x:t>
        </x:is>
      </x:c>
      <x:c r="D21" s="133" t="inlineStr">
        <x:is>
          <x:t xml:space="preserve">Source / notes</x:t>
        </x:is>
      </x:c>
    </x:row>
    <x:row r="22">
      <x:c r="A22" s="27" t="inlineStr">
        <x:is>
          <x:t xml:space="preserve">Founder production time (30d x $560)</x:t>
        </x:is>
      </x:c>
      <x:c r="B22" s="45" t="n">
        <x:v>16800</x:v>
      </x:c>
      <x:c r="C22" s="49" t="inlineStr">
        <x:is>
          <x:t xml:space="preserve">locked</x:t>
        </x:is>
      </x:c>
      <x:c r="D22" s="50" t="inlineStr">
        <x:is>
          <x:t xml:space="preserve">Locked 2026-05-29. Only production days touch unit cost.</x:t>
        </x:is>
      </x:c>
    </x:row>
    <x:row r="23">
      <x:c r="A23" s="27" t="inlineStr">
        <x:is>
          <x:t xml:space="preserve">Kirmos facility (50% to beds)</x:t>
        </x:is>
      </x:c>
      <x:c r="B23" s="45" t="n">
        <x:v>27000</x:v>
      </x:c>
      <x:c r="C23" s="49" t="inlineStr">
        <x:is>
          <x:t xml:space="preserve">verified</x:t>
        </x:is>
      </x:c>
      <x:c r="D23" s="50" t="inlineStr">
        <x:is>
          <x:t xml:space="preserve">GoC Q&amp;A Q1 confirms.</x:t>
        </x:is>
      </x:c>
    </x:row>
    <x:row r="24">
      <x:c r="A24" s="27" t="inlineStr">
        <x:is>
          <x:t xml:space="preserve">Admin</x:t>
        </x:is>
      </x:c>
      <x:c r="B24" s="45" t="n">
        <x:v>14700</x:v>
      </x:c>
      <x:c r="C24" s="49" t="inlineStr">
        <x:is>
          <x:t xml:space="preserve">verified</x:t>
        </x:is>
      </x:c>
      <x:c r="D24" s="50" t="inlineStr">
        <x:is>
          <x:t xml:space="preserve"/>
        </x:is>
      </x:c>
    </x:row>
    <x:row r="25">
      <x:c r="A25" s="27" t="inlineStr">
        <x:is>
          <x:t xml:space="preserve">Field travel</x:t>
        </x:is>
      </x:c>
      <x:c r="B25" s="45" t="n">
        <x:v>51000</x:v>
      </x:c>
      <x:c r="C25" s="49" t="inlineStr">
        <x:is>
          <x:t xml:space="preserve">verified</x:t>
        </x:is>
      </x:c>
      <x:c r="D25" s="50" t="inlineStr">
        <x:is>
          <x:t xml:space="preserve"/>
        </x:is>
      </x:c>
    </x:row>
    <x:row r="26">
      <x:c r="A26" s="129" t="inlineStr">
        <x:is>
          <x:t xml:space="preserve">TOTAL fixed operating block / yr</x:t>
        </x:is>
      </x:c>
      <x:c r="B26" s="131" t="n">
        <x:f>SUM(B22:B25)</x:f>
        <x:v>109500</x:v>
      </x:c>
      <x:c r="C26" s="132" t="str">
        <x:v>derived</x:v>
      </x:c>
      <x:c r="D26" s="133" t="str">
        <x:v>$109,500, confirmed line by line in GoC Q&amp;A Q1.</x:v>
      </x:c>
    </x:row>
    <x:row r="27">
      <x:c r="A27" s="27" t="inlineStr">
        <x:is>
          <x:t xml:space="preserve">Equipment maintenance (% of $167K equip, per facility)</x:t>
        </x:is>
      </x:c>
      <x:c r="B27" s="46" t="n">
        <x:v>0.05</x:v>
      </x:c>
      <x:c r="C27" s="49" t="inlineStr">
        <x:is>
          <x:t xml:space="preserve">placeholder</x:t>
        </x:is>
      </x:c>
      <x:c r="D27" s="50" t="inlineStr">
        <x:is>
          <x:t xml:space="preserve">3-5% pending vendor quotes. $167K = shredder+press+CNC+bench midpoints.</x:t>
        </x:is>
      </x:c>
    </x:row>
    <x:row r="28">
      <x:c r="A28" s="27"/>
      <x:c r="B28" s="27"/>
      <x:c r="C28" s="49"/>
      <x:c r="D28" s="50"/>
    </x:row>
    <x:row r="29">
      <x:c r="A29" s="126" t="str">
        <x:v>4. COMMUNITY FACILITY &amp; PROGRAM: per site per year (Pot 2, GRANT-FUNDED, kept separate)</x:v>
      </x:c>
      <x:c r="B29" s="126" t="n"/>
      <x:c r="C29" s="134" t="n"/>
      <x:c r="D29" s="135" t="n"/>
    </x:row>
    <x:row r="30">
      <x:c r="A30" s="129" t="inlineStr">
        <x:is>
          <x:t xml:space="preserve">Line item</x:t>
        </x:is>
      </x:c>
      <x:c r="B30" s="129" t="inlineStr">
        <x:is>
          <x:t xml:space="preserve">Value</x:t>
        </x:is>
      </x:c>
      <x:c r="C30" s="132" t="inlineStr">
        <x:is>
          <x:t xml:space="preserve">Status</x:t>
        </x:is>
      </x:c>
      <x:c r="D30" s="133" t="inlineStr">
        <x:is>
          <x:t xml:space="preserve">Source / notes</x:t>
        </x:is>
      </x:c>
    </x:row>
    <x:row r="31">
      <x:c r="A31" s="27" t="inlineStr">
        <x:is>
          <x:t xml:space="preserve">Bare facility operating (rent+insurance+admin+upkeep)</x:t>
        </x:is>
      </x:c>
      <x:c r="B31" s="45" t="n">
        <x:v>151666</x:v>
      </x:c>
      <x:c r="C31" s="49" t="inlineStr">
        <x:is>
          <x:t xml:space="preserve">derived</x:t>
        </x:is>
      </x:c>
      <x:c r="D31" s="50" t="inlineStr">
        <x:is>
          <x:t xml:space="preserve">From the Oonchiumpa DEWR application budget lines.</x:t>
        </x:is>
      </x:c>
    </x:row>
    <x:row r="32">
      <x:c r="A32" s="27" t="inlineStr">
        <x:is>
          <x:t xml:space="preserve">Fully staffed facility (adds manager + trainer/WHS)</x:t>
        </x:is>
      </x:c>
      <x:c r="B32" s="45" t="n">
        <x:v>341666</x:v>
      </x:c>
      <x:c r="C32" s="49" t="inlineStr">
        <x:is>
          <x:t xml:space="preserve">derived</x:t>
        </x:is>
      </x:c>
      <x:c r="D32" s="50" t="inlineStr">
        <x:is>
          <x:t xml:space="preserve">Bare + manager $150K + trainer/WHS ~$40K.</x:t>
        </x:is>
      </x:c>
    </x:row>
    <x:row r="33">
      <x:c r="A33" s="27" t="inlineStr">
        <x:is>
          <x:t xml:space="preserve">Employment program (brokerage/wages)</x:t>
        </x:is>
      </x:c>
      <x:c r="B33" s="45" t="n">
        <x:v>300000</x:v>
      </x:c>
      <x:c r="C33" s="49" t="inlineStr">
        <x:is>
          <x:t xml:space="preserve">as-written</x:t>
        </x:is>
      </x:c>
      <x:c r="D33" s="50" t="inlineStr">
        <x:is>
          <x:t xml:space="preserve">DEWR application. Grant/government money, NEVER carried by bed sales.</x:t>
        </x:is>
      </x:c>
    </x:row>
    <x:row r="34">
      <x:c r="A34" s="26" t="str">
        <x:v>NOTE: the two pots</x:v>
      </x:c>
      <x:c r="B34" s="27"/>
      <x:c r="C34" s="49"/>
      <x:c r="D34" s="50" t="inlineStr">
        <x:is>
          <x:t xml:space="preserve">Production (Pot 1) pays for itself at volume. The wraparound (Pot 2) is grant-funded by design. Keep them in separate cost centres that never cross-subsidise on paper.</x:t>
        </x:is>
      </x:c>
    </x:row>
    <x:row r="35">
      <x:c r="A35" s="27"/>
      <x:c r="B35" s="27"/>
      <x:c r="C35" s="49"/>
      <x:c r="D35" s="50"/>
    </x:row>
    <x:row r="36">
      <x:c r="A36" s="126" t="inlineStr">
        <x:is>
          <x:t xml:space="preserve">5. CAPITAL STACK &amp; FINANCING</x:t>
        </x:is>
      </x:c>
      <x:c r="B36" s="126" t="n"/>
      <x:c r="C36" s="134" t="n"/>
      <x:c r="D36" s="135" t="n"/>
    </x:row>
    <x:row r="37">
      <x:c r="A37" s="129" t="inlineStr">
        <x:is>
          <x:t xml:space="preserve">Line item</x:t>
        </x:is>
      </x:c>
      <x:c r="B37" s="129" t="inlineStr">
        <x:is>
          <x:t xml:space="preserve">Value</x:t>
        </x:is>
      </x:c>
      <x:c r="C37" s="132" t="inlineStr">
        <x:is>
          <x:t xml:space="preserve">Status</x:t>
        </x:is>
      </x:c>
      <x:c r="D37" s="133" t="inlineStr">
        <x:is>
          <x:t xml:space="preserve">Source / notes</x:t>
        </x:is>
      </x:c>
    </x:row>
    <x:row r="38">
      <x:c r="A38" s="27" t="inlineStr">
        <x:is>
          <x:t xml:space="preserve">SEFA (debt)</x:t>
        </x:is>
      </x:c>
      <x:c r="B38" s="45" t="n">
        <x:v>300000</x:v>
      </x:c>
      <x:c r="C38" s="49" t="inlineStr">
        <x:is>
          <x:t xml:space="preserve">placeholder</x:t>
        </x:is>
      </x:c>
      <x:c r="D38" s="50" t="inlineStr">
        <x:is>
          <x:t xml:space="preserve">First lender target; ownership-gate-free. Draw Yr1.</x:t>
        </x:is>
      </x:c>
    </x:row>
    <x:row r="39">
      <x:c r="A39" s="27" t="inlineStr">
        <x:is>
          <x:t xml:space="preserve">QBE (debt, repayable preferred)</x:t>
        </x:is>
      </x:c>
      <x:c r="B39" s="45" t="n">
        <x:v>400000</x:v>
      </x:c>
      <x:c r="C39" s="49" t="inlineStr">
        <x:is>
          <x:t xml:space="preserve">placeholder</x:t>
        </x:is>
      </x:c>
      <x:c r="D39" s="50" t="inlineStr">
        <x:is>
          <x:t xml:space="preserve">At-least-matched by signed external capital. Draw Yr2. Match ratio + eligible/match split TBC.</x:t>
        </x:is>
      </x:c>
    </x:row>
    <x:row r="40">
      <x:c r="A40" s="27" t="inlineStr">
        <x:is>
          <x:t xml:space="preserve">Anchor philanthropy (equity / grant to capital)</x:t>
        </x:is>
      </x:c>
      <x:c r="B40" s="45" t="n">
        <x:v>500000</x:v>
      </x:c>
      <x:c r="C40" s="49" t="inlineStr">
        <x:is>
          <x:t xml:space="preserve">placeholder</x:t>
        </x:is>
      </x:c>
      <x:c r="D40" s="50" t="inlineStr">
        <x:is>
          <x:t xml:space="preserve">Draw Yr1.</x:t>
        </x:is>
      </x:c>
    </x:row>
    <x:row r="41">
      <x:c r="A41" s="129" t="inlineStr">
        <x:is>
          <x:t xml:space="preserve">TOTAL capital stack</x:t>
        </x:is>
      </x:c>
      <x:c r="B41" s="131" t="n">
        <x:f>SUM(B38:B40)</x:f>
        <x:v>1200000</x:v>
      </x:c>
      <x:c r="C41" s="132" t="str">
        <x:v>derived</x:v>
      </x:c>
      <x:c r="D41" s="133" t="str">
        <x:v>Sum of the placeholder capital stack above.</x:v>
      </x:c>
    </x:row>
    <x:row r="42">
      <x:c r="A42" s="27" t="inlineStr">
        <x:is>
          <x:t xml:space="preserve">Interest rate on debt</x:t>
        </x:is>
      </x:c>
      <x:c r="B42" s="46" t="n">
        <x:v>0.06</x:v>
      </x:c>
      <x:c r="C42" s="49" t="inlineStr">
        <x:is>
          <x:t xml:space="preserve">assumption</x:t>
        </x:is>
      </x:c>
      <x:c r="D42" s="50" t="inlineStr">
        <x:is>
          <x:t xml:space="preserve">Interest-only assumed in the forecast window.</x:t>
        </x:is>
      </x:c>
    </x:row>
    <x:row r="43">
      <x:c r="A43" s="27" t="inlineStr">
        <x:is>
          <x:t xml:space="preserve">Signed match-eligible capital today</x:t>
        </x:is>
      </x:c>
      <x:c r="B43" s="45" t="n">
        <x:v>0</x:v>
      </x:c>
      <x:c r="C43" s="49" t="inlineStr">
        <x:is>
          <x:t xml:space="preserve">verified</x:t>
        </x:is>
      </x:c>
      <x:c r="D43" s="50" t="inlineStr">
        <x:is>
          <x:t xml:space="preserve">0 open Goods-eligible grants; 51% First Nations ownership = biggest unlock.</x:t>
        </x:is>
      </x:c>
    </x:row>
    <x:row r="44">
      <x:c r="A44" s="27"/>
      <x:c r="B44" s="27"/>
      <x:c r="C44" s="49"/>
      <x:c r="D44" s="50"/>
    </x:row>
    <x:row r="45">
      <x:c r="A45" s="126" t="inlineStr">
        <x:is>
          <x:t xml:space="preserve">6. WORKING CAPITAL &amp; TAX (for the 3-statement build)</x:t>
        </x:is>
      </x:c>
      <x:c r="B45" s="126" t="n"/>
      <x:c r="C45" s="134" t="n"/>
      <x:c r="D45" s="135" t="n"/>
    </x:row>
    <x:row r="46">
      <x:c r="A46" s="129" t="inlineStr">
        <x:is>
          <x:t xml:space="preserve">Line item</x:t>
        </x:is>
      </x:c>
      <x:c r="B46" s="129" t="inlineStr">
        <x:is>
          <x:t xml:space="preserve">Value</x:t>
        </x:is>
      </x:c>
      <x:c r="C46" s="132" t="inlineStr">
        <x:is>
          <x:t xml:space="preserve">Status</x:t>
        </x:is>
      </x:c>
      <x:c r="D46" s="133" t="inlineStr">
        <x:is>
          <x:t xml:space="preserve">Source / notes</x:t>
        </x:is>
      </x:c>
    </x:row>
    <x:row r="47">
      <x:c r="A47" s="27" t="inlineStr">
        <x:is>
          <x:t xml:space="preserve">Debtor days</x:t>
        </x:is>
      </x:c>
      <x:c r="B47" s="47" t="n">
        <x:v>30</x:v>
      </x:c>
      <x:c r="C47" s="49" t="inlineStr">
        <x:is>
          <x:t xml:space="preserve">assumption</x:t>
        </x:is>
      </x:c>
      <x:c r="D47" s="50" t="inlineStr">
        <x:is>
          <x:t xml:space="preserve">On product revenue.</x:t>
        </x:is>
      </x:c>
    </x:row>
    <x:row r="48">
      <x:c r="A48" s="27" t="inlineStr">
        <x:is>
          <x:t xml:space="preserve">Creditor days</x:t>
        </x:is>
      </x:c>
      <x:c r="B48" s="47" t="n">
        <x:v>30</x:v>
      </x:c>
      <x:c r="C48" s="49" t="inlineStr">
        <x:is>
          <x:t xml:space="preserve">assumption</x:t>
        </x:is>
      </x:c>
      <x:c r="D48" s="50" t="inlineStr">
        <x:is>
          <x:t xml:space="preserve">On cash operating costs.</x:t>
        </x:is>
      </x:c>
    </x:row>
    <x:row r="49">
      <x:c r="A49" s="27" t="inlineStr">
        <x:is>
          <x:t xml:space="preserve">Inventory days</x:t>
        </x:is>
      </x:c>
      <x:c r="B49" s="47" t="n">
        <x:v>45</x:v>
      </x:c>
      <x:c r="C49" s="49" t="inlineStr">
        <x:is>
          <x:t xml:space="preserve">assumption</x:t>
        </x:is>
      </x:c>
      <x:c r="D49" s="50" t="inlineStr">
        <x:is>
          <x:t xml:space="preserve">On bed COGS.</x:t>
        </x:is>
      </x:c>
    </x:row>
    <x:row r="50">
      <x:c r="A50" s="27" t="inlineStr">
        <x:is>
          <x:t xml:space="preserve">Company tax rate</x:t>
        </x:is>
      </x:c>
      <x:c r="B50" s="46" t="n">
        <x:v>0.25</x:v>
      </x:c>
      <x:c r="C50" s="49" t="inlineStr">
        <x:is>
          <x:t xml:space="preserve">assumption</x:t>
        </x:is>
      </x:c>
      <x:c r="D50" s="50" t="inlineStr">
        <x:is>
          <x:t xml:space="preserve">Pty Ltd base rate. Confirm charity/DGR treatment with accountant. Model loss carry-forward.</x:t>
        </x:is>
      </x:c>
    </x:row>
    <x:row r="51">
      <x:c r="A51" s="27" t="inlineStr">
        <x:is>
          <x:t xml:space="preserve">Plant useful life (depreciation, years)</x:t>
        </x:is>
      </x:c>
      <x:c r="B51" s="47" t="n">
        <x:v>10</x:v>
      </x:c>
      <x:c r="C51" s="49" t="inlineStr">
        <x:is>
          <x:t xml:space="preserve">assumption</x:t>
        </x:is>
      </x:c>
      <x:c r="D51" s="50" t="inlineStr">
        <x:is>
          <x:t xml:space="preserve">Straight-line.</x:t>
        </x:is>
      </x:c>
    </x:row>
    <x:row r="52">
      <x:c r="A52" s="27"/>
      <x:c r="B52" s="27"/>
      <x:c r="C52" s="49"/>
      <x:c r="D52" s="50"/>
    </x:row>
    <x:row r="53">
      <x:c r="A53" s="126" t="str">
        <x:v>7. BED ECONOMICS: the production plug (from the bed unit-costing model)</x:v>
      </x:c>
      <x:c r="B53" s="126" t="n"/>
      <x:c r="C53" s="134" t="n"/>
      <x:c r="D53" s="135" t="n"/>
    </x:row>
    <x:row r="54">
      <x:c r="A54" s="129" t="inlineStr">
        <x:is>
          <x:t xml:space="preserve">Line item</x:t>
        </x:is>
      </x:c>
      <x:c r="B54" s="129" t="inlineStr">
        <x:is>
          <x:t xml:space="preserve">Value</x:t>
        </x:is>
      </x:c>
      <x:c r="C54" s="132" t="inlineStr">
        <x:is>
          <x:t xml:space="preserve">Status</x:t>
        </x:is>
      </x:c>
      <x:c r="D54" s="133" t="inlineStr">
        <x:is>
          <x:t xml:space="preserve">Source / notes</x:t>
        </x:is>
      </x:c>
    </x:row>
    <x:row r="55">
      <x:c r="A55" s="27" t="inlineStr">
        <x:is>
          <x:t xml:space="preserve">Selling price per bed</x:t>
        </x:is>
      </x:c>
      <x:c r="B55" s="45" t="n">
        <x:v>750</x:v>
      </x:c>
      <x:c r="C55" s="49" t="inlineStr">
        <x:is>
          <x:t xml:space="preserve">verified</x:t>
        </x:is>
      </x:c>
      <x:c r="D55" s="50" t="inlineStr">
        <x:is>
          <x:t xml:space="preserve">Shop stretch-bed-single, held flat.</x:t>
        </x:is>
      </x:c>
    </x:row>
    <x:row r="56">
      <x:c r="A56" s="27" t="str">
        <x:v>Marginal cost per bed: Buy-Kit</x:v>
      </x:c>
      <x:c r="B56" s="48" t="n">
        <x:v>684.79</x:v>
      </x:c>
      <x:c r="C56" s="49" t="inlineStr">
        <x:is>
          <x:t xml:space="preserve">modelled</x:t>
        </x:is>
      </x:c>
      <x:c r="D56" s="50" t="inlineStr">
        <x:is>
          <x:t xml:space="preserve">Today's bought-in path.</x:t>
        </x:is>
      </x:c>
    </x:row>
    <x:row r="57">
      <x:c r="A57" s="27" t="str">
        <x:v>Marginal cost per bed: Factory</x:v>
      </x:c>
      <x:c r="B57" s="48" t="n">
        <x:v>425.74</x:v>
      </x:c>
      <x:c r="C57" s="49" t="inlineStr">
        <x:is>
          <x:t xml:space="preserve">modelled (proven)</x:t>
        </x:is>
      </x:c>
      <x:c r="D57" s="50" t="inlineStr">
        <x:is>
          <x:t xml:space="preserve">PROCESS PROVEN: 40 Maningrida beds made in-house at the farm. Per-bed cost modelled pending measured actuals.</x:t>
        </x:is>
      </x:c>
    </x:row>
    <x:row r="58">
      <x:c r="A58" s="27" t="str">
        <x:v>Marginal cost per bed: Community</x:v>
      </x:c>
      <x:c r="B58" s="48" t="n">
        <x:v>420.74</x:v>
      </x:c>
      <x:c r="C58" s="49" t="inlineStr">
        <x:is>
          <x:t xml:space="preserve">modelled (future)</x:t>
        </x:is>
      </x:c>
      <x:c r="D58" s="50" t="str">
        <x:v>On Country community path not yet run.</x:v>
      </x:c>
    </x:row>
    <x:row r="59">
      <x:c r="A59" s="27" t="str">
        <x:v>Contribution per bed: Factory / Community</x:v>
      </x:c>
      <x:c r="B59" s="48" t="n">
        <x:v>329.26</x:v>
      </x:c>
      <x:c r="C59" s="49" t="inlineStr">
        <x:is>
          <x:t xml:space="preserve">derived</x:t>
        </x:is>
      </x:c>
      <x:c r="D59" s="50" t="inlineStr">
        <x:is>
          <x:t xml:space="preserve">$750 − Community marginal (Factory = $324.26). In-sourcing legs is the whole prize.</x:t>
        </x:is>
      </x:c>
    </x:row>
    <x:row r="60">
      <x:c r="A60" s="27" t="str">
        <x:v>Break-even: Factory / Community (beds/yr)</x:v>
      </x:c>
      <x:c r="B60" s="47" t="n">
        <x:v>338</x:v>
      </x:c>
      <x:c r="C60" s="49" t="inlineStr">
        <x:is>
          <x:t xml:space="preserve">derived</x:t>
        </x:is>
      </x:c>
      <x:c r="D60" s="50" t="inlineStr">
        <x:is>
          <x:t xml:space="preserve">Fixed block ÷ contribution. Community ~333.</x:t>
        </x:is>
      </x:c>
    </x:row>
    <x:row r="61">
      <x:c r="A61" s="27"/>
      <x:c r="B61" s="27"/>
      <x:c r="C61" s="27"/>
      <x:c r="D61" s="27"/>
    </x:row>
    <x:row r="62">
      <x:c r="A62" s="126" t="inlineStr">
        <x:is>
          <x:t xml:space="preserve">KEY NOTES (carry into the model's cover)</x:t>
        </x:is>
      </x:c>
      <x:c r="B62" s="126" t="n"/>
      <x:c r="C62" s="126" t="n"/>
      <x:c r="D62" s="126" t="n"/>
    </x:row>
    <x:row r="63" ht="28" customHeight="1">
      <x:c r="A63" s="28" t="inlineStr">
        <x:is>
          <x:t xml:space="preserve">• Two pots: production (Pot 1) self-funds at volume; the community wraparound (Pot 2) is grant-funded by design, never from bed sales.</x:t>
        </x:is>
      </x:c>
      <x:c r="B63" s="27"/>
      <x:c r="C63" s="27"/>
      <x:c r="D63" s="27"/>
    </x:row>
    <x:row r="64" ht="28" customHeight="1">
      <x:c r="A64" s="28" t="str">
        <x:v>• Factory path is PROVEN: 40 Maningrida Stretch beds pressed + CNC'd + assembled in-house at the farm. Open = the measured per-bed cost/rate at volume, and the separate On Country community path.</x:v>
      </x:c>
      <x:c r="B64" s="27"/>
      <x:c r="C64" s="27"/>
      <x:c r="D64" s="27"/>
    </x:row>
    <x:row r="65" ht="28" customHeight="1">
      <x:c r="A65" s="28" t="inlineStr">
        <x:is>
          <x:t xml:space="preserve">• These are Xero-mirror workpaper figures, NOT accountant-reviewed statutory accounts. ~89% grant-funded. Capex not firm-quoted.</x:t>
        </x:is>
      </x:c>
      <x:c r="B65" s="27"/>
      <x:c r="C65" s="27"/>
      <x:c r="D65" s="27"/>
    </x:row>
    <x:row r="66" ht="28" customHeight="1">
      <x:c r="A66" s="28" t="inlineStr">
        <x:is>
          <x:t xml:space="preserve">• Base year revenue to use = the accountant-signed carve-out $713,827 only.</x:t>
        </x:is>
      </x:c>
      <x:c r="B66" s="27"/>
      <x:c r="C66" s="27"/>
      <x:c r="D66" s="27"/>
    </x:row>
  </x:sheetData>
  <x:mergeCells>
    <x:mergeCell ref="A64:D64"/>
    <x:mergeCell ref="A65:D65"/>
    <x:mergeCell ref="A2:D2"/>
    <x:mergeCell ref="A63:D63"/>
    <x:mergeCell ref="A66:D6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10" customWidth="1"/>
  </x:cols>
  <x:sheetData>
    <x:row r="1">
      <x:c r="A1" s="55" t="str">
        <x:v>Provenance, sources &amp; status: GOC Entity Model Inputs (2026-07-23)</x:v>
      </x:c>
    </x:row>
    <x:row r="2">
      <x:c r="A2" s="15" t="inlineStr">
        <x:is>
          <x:t xml:space="preserve"/>
        </x:is>
      </x:c>
    </x:row>
    <x:row r="3">
      <x:c r="A3" s="56" t="inlineStr">
        <x:is>
          <x:t xml:space="preserve">PURPOSE</x:t>
        </x:is>
      </x:c>
    </x:row>
    <x:row r="4">
      <x:c r="A4" s="50" t="inlineStr">
        <x:is>
          <x:t xml:space="preserve">The entity-level figures needed to wrap the bed unit-costing model into a GOC-only 3-statement model. Mirrors the format of 'GOC Bed Unit-Costing Model v2.xlsx'. Full traceable figure set (117 rows) = goc-data-and-figures-pack.csv in the same folder.</x:t>
        </x:is>
      </x:c>
    </x:row>
    <x:row r="5">
      <x:c r="A5" s="50" t="inlineStr">
        <x:is>
          <x:t xml:space="preserve"/>
        </x:is>
      </x:c>
    </x:row>
    <x:row r="6">
      <x:c r="A6" s="37" t="inlineStr">
        <x:is>
          <x:t xml:space="preserve">STATUS VOCABULARY</x:t>
        </x:is>
      </x:c>
    </x:row>
    <x:row r="7">
      <x:c r="A7" s="50" t="inlineStr">
        <x:is>
          <x:t xml:space="preserve">accountant-signed = endorsed by the accountant.  verified = traced to invoice / register / Xero pull / ASIC.  evidenced = Xero bill/bank-line level.  derived = arithmetic here from cited inputs.  workpaper = unaudited Xero-mirror.  modelled = calculated from verified inputs (Factory process proven, per-bed cost not yet measured at volume).  assumption / placeholder = no second source or an explicit placeholder pending a decision.</x:t>
        </x:is>
      </x:c>
    </x:row>
    <x:row r="8">
      <x:c r="A8" s="50" t="inlineStr">
        <x:is>
          <x:t xml:space="preserve"/>
        </x:is>
      </x:c>
    </x:row>
    <x:row r="9">
      <x:c r="A9" s="37" t="inlineStr">
        <x:is>
          <x:t xml:space="preserve">SOURCES</x:t>
        </x:is>
      </x:c>
    </x:row>
    <x:row r="10">
      <x:c r="A10" s="50" t="inlineStr">
        <x:is>
          <x:t xml:space="preserve">• Block 1 (historical): matt-document-bundle/04-verified-financials.md (Xero ACT-GD, 2026-05-29) + current canon revenue carve-out $713,827.</x:t>
        </x:is>
      </x:c>
    </x:row>
    <x:row r="11">
      <x:c r="A11" s="50" t="inlineStr">
        <x:is>
          <x:t xml:space="preserve">• Block 2 (opening position): 2026-07-22-minimal-viable-facility-model.md (sunk ~$75K evidenced).</x:t>
        </x:is>
      </x:c>
    </x:row>
    <x:row r="12">
      <x:c r="A12" s="50" t="inlineStr">
        <x:is>
          <x:t xml:space="preserve">• Block 3 (fixed block): 03-cost-model-and-build-paths.md; GoC Q&amp;A Q1 confirms the $109,500 breakdown.</x:t>
        </x:is>
      </x:c>
    </x:row>
    <x:row r="13">
      <x:c r="A13" s="50" t="inlineStr">
        <x:is>
          <x:t xml:space="preserve">• Block 4 (Pot 2): 2026-07-22-community-facility-operating-model.md (Oonchiumpa DEWR application budget lines).</x:t>
        </x:is>
      </x:c>
    </x:row>
    <x:row r="14">
      <x:c r="A14" s="50" t="inlineStr">
        <x:is>
          <x:t xml:space="preserve">• Block 5 (capital stack): 04-verified-financials.md; QBE Stage 2 terms. PLACEHOLDER split.</x:t>
        </x:is>
      </x:c>
    </x:row>
    <x:row r="15">
      <x:c r="A15" s="50" t="inlineStr">
        <x:is>
          <x:t xml:space="preserve">• Block 6 (working capital/tax): modelling assumptions, flagged.</x:t>
        </x:is>
      </x:c>
    </x:row>
    <x:row r="16">
      <x:c r="A16" s="50" t="inlineStr">
        <x:is>
          <x:t xml:space="preserve">• Block 7 (bed economics): 03-cost-model-and-build-paths.md (v6). Reconciles exactly to Matt's Inputs block 1.</x:t>
        </x:is>
      </x:c>
    </x:row>
    <x:row r="17">
      <x:c r="A17" s="50" t="inlineStr">
        <x:is>
          <x:t xml:space="preserve"/>
        </x:is>
      </x:c>
    </x:row>
    <x:row r="18">
      <x:c r="A18" s="37" t="inlineStr">
        <x:is>
          <x:t xml:space="preserve">DECISIONS FOR BEN (the six that firm up the placeholders)</x:t>
        </x:is>
      </x:c>
    </x:row>
    <x:row r="19">
      <x:c r="A19" s="50" t="str">
        <x:v>• 1. HDPE per-bed mass &amp; rate: confirm 20kg @ $2.75 as the model figure, reconcile the '20kg diverted' claim.</x:v>
      </x:c>
    </x:row>
    <x:row r="20">
      <x:c r="A20" s="50" t="str">
        <x:v>• 2. Site capex: adopt sunk ~$75K / replication ~$105K; retire the $30K and $100-150K figures.</x:v>
      </x:c>
    </x:row>
    <x:row r="21">
      <x:c r="A21" s="50" t="str">
        <x:v>• 3. Capital ask: quote gross $112-222K; present sunk spend as evidence, don't net off. Never quote '$90-200K'.</x:v>
      </x:c>
    </x:row>
    <x:row r="22">
      <x:c r="A22" s="50" t="str">
        <x:v>• 4. Capital stack: confirm the real split and the QBE match ratio ($0 signed today).</x:v>
      </x:c>
    </x:row>
    <x:row r="23">
      <x:c r="A23" s="50" t="str">
        <x:v>• 5. Community-facility block: agree bare ~$152K / staffed ~$342K / program $300K as the three-cost-centre structure.</x:v>
      </x:c>
    </x:row>
    <x:row r="24">
      <x:c r="A24" s="50" t="str">
        <x:v>• 6. Measured run: the process is proven (40 beds); confirm whether that run's actuals (time/diesel/yield) were captured, or run a short measured one to lock $425.74.</x:v>
      </x:c>
    </x:row>
    <x:row r="25">
      <x:c r="A25" s="50" t="inlineStr">
        <x:is>
          <x:t xml:space="preserve"/>
        </x:is>
      </x:c>
    </x:row>
    <x:row r="26">
      <x:c r="A26" s="37" t="inlineStr">
        <x:is>
          <x:t xml:space="preserve">DELIBERATE EXCLUSIONS / FLAGS</x:t>
        </x:is>
      </x:c>
    </x:row>
    <x:row r="27">
      <x:c r="A27" s="50" t="inlineStr">
        <x:is>
          <x:t xml:space="preserve">• Not accountant-reviewed statutory accounts; ~89% grant-funded.</x:t>
        </x:is>
      </x:c>
    </x:row>
    <x:row r="28">
      <x:c r="A28" s="50" t="inlineStr">
        <x:is>
          <x:t xml:space="preserve">• Container &amp; equipment capex are modelled midpoints / desktop estimates, NOT firm quotes.</x:t>
        </x:is>
      </x:c>
    </x:row>
    <x:row r="29">
      <x:c r="A29" s="50" t="str">
        <x:v>• CRM pipeline (~$3.42M) is internal only: not committed capital, not QBE-match evidence.</x:v>
      </x:c>
    </x:row>
    <x:row r="30">
      <x:c r="A30" s="50" t="inlineStr">
        <x:is>
          <x:t xml:space="preserve">• Founder non-production time ($67,200/yr) excluded from unit cost (cost of capital, not production).</x:t>
        </x:is>
      </x:c>
    </x:row>
    <x:row r="31">
      <x:c r="A31" s="50" t="str">
        <x:v>• Community wraparound (Pot 2) is grant-funded and separate: never funded from bed sales.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5" hidden="0" customWidth="1"/>
    <x:col min="5" max="5" width="16" hidden="0" customWidth="1"/>
    <x:col min="6" max="6" width="18" hidden="0" customWidth="1"/>
    <x:col min="7" max="7" width="31" hidden="0" customWidth="1"/>
    <x:col min="8" max="8" width="54" hidden="0" customWidth="1"/>
  </x:cols>
  <x:sheetData>
    <x:row r="1">
      <x:c r="A1" s="86" t="str">
        <x:v>Known Other Costs</x:v>
      </x:c>
      <x:c r="B1" s="87"/>
      <x:c r="C1" s="87"/>
      <x:c r="D1" s="87"/>
      <x:c r="E1" s="87"/>
      <x:c r="F1" s="87"/>
      <x:c r="G1" s="87"/>
      <x:c r="H1" s="88"/>
    </x:row>
    <x:row r="2">
      <x:c r="A2" s="77" t="str">
        <x:v>Costs already found in the GOC codebase and workpapers. Status is load-bearing: evidenced and verified are not the same as modelled, allowance or physical-only. All AUD ex-GST unless the Unit column says otherwise.</x:v>
      </x:c>
      <x:c r="B2" s="78"/>
      <x:c r="C2" s="78"/>
      <x:c r="D2" s="78"/>
      <x:c r="E2" s="78"/>
      <x:c r="F2" s="78"/>
      <x:c r="G2" s="78"/>
      <x:c r="H2" s="79"/>
    </x:row>
    <x:row r="3">
      <x:c r="A3" s="89"/>
      <x:c r="B3" s="90"/>
      <x:c r="C3" s="90"/>
      <x:c r="D3" s="90"/>
      <x:c r="E3" s="90"/>
      <x:c r="F3" s="90"/>
      <x:c r="G3" s="90"/>
      <x:c r="H3" s="91"/>
    </x:row>
    <x:row r="4">
      <x:c r="A4" s="139" t="str">
        <x:v>1. EXISTING PLANT AND HARDWARE: ACTUAL OR PHYSICALLY CONFIRMED</x:v>
      </x:c>
      <x:c r="B4" s="140"/>
      <x:c r="C4" s="140"/>
      <x:c r="D4" s="140"/>
      <x:c r="E4" s="140"/>
      <x:c r="F4" s="140"/>
      <x:c r="G4" s="140"/>
      <x:c r="H4" s="141"/>
    </x:row>
    <x:row r="5">
      <x:c r="A5" s="145" t="str">
        <x:v>Cost item</x:v>
      </x:c>
      <x:c r="B5" s="146" t="str">
        <x:v>Low</x:v>
      </x:c>
      <x:c r="C5" s="146" t="str">
        <x:v>High</x:v>
      </x:c>
      <x:c r="D5" s="146" t="str">
        <x:v>Selected/current</x:v>
      </x:c>
      <x:c r="E5" s="146" t="str">
        <x:v>Unit</x:v>
      </x:c>
      <x:c r="F5" s="146" t="str">
        <x:v>Status</x:v>
      </x:c>
      <x:c r="G5" s="146" t="str">
        <x:v>Source</x:v>
      </x:c>
      <x:c r="H5" s="147" t="str">
        <x:v>Notes</x:v>
      </x:c>
    </x:row>
    <x:row r="6">
      <x:c r="A6" s="89" t="str">
        <x:v>Evidenced sunk hardware total</x:v>
      </x:c>
      <x:c r="B6" s="110"/>
      <x:c r="C6" s="110"/>
      <x:c r="D6" s="110" t="n">
        <x:v>75000</x:v>
      </x:c>
      <x:c r="E6" s="90" t="str">
        <x:v>AUD</x:v>
      </x:c>
      <x:c r="F6" s="90" t="str">
        <x:v>evidenced/mixed</x:v>
      </x:c>
      <x:c r="G6" s="90" t="str">
        <x:v>MVF reconciliation, 2026-07-22</x:v>
      </x:c>
      <x:c r="H6" s="91" t="str">
        <x:v>About $43.7K cleanly tagged, $12.5K ambiguous and $19.8K physical-only shredder. Rounded total.</x:v>
      </x:c>
    </x:row>
    <x:row r="7">
      <x:c r="A7" s="89" t="str">
        <x:v>Press + cold press + CNC bundle</x:v>
      </x:c>
      <x:c r="B7" s="110"/>
      <x:c r="C7" s="110"/>
      <x:c r="D7" s="110" t="n">
        <x:v>32780</x:v>
      </x:c>
      <x:c r="E7" s="90" t="str">
        <x:v>AUD inc GST</x:v>
      </x:c>
      <x:c r="F7" s="90" t="str">
        <x:v>evidenced</x:v>
      </x:c>
      <x:c r="G7" s="90" t="str">
        <x:v>Xero INV-0054, 2025-12-17, ACT-GD</x:v>
      </x:c>
      <x:c r="H7" s="91" t="str">
        <x:v>Existing purchase, not a fresh-site quote.</x:v>
      </x:c>
    </x:row>
    <x:row r="8">
      <x:c r="A8" s="89" t="str">
        <x:v>Workshop tools</x:v>
      </x:c>
      <x:c r="B8" s="110"/>
      <x:c r="C8" s="110"/>
      <x:c r="D8" s="110" t="n">
        <x:v>6387</x:v>
      </x:c>
      <x:c r="E8" s="90" t="str">
        <x:v>AUD inc GST</x:v>
      </x:c>
      <x:c r="F8" s="90" t="str">
        <x:v>evidenced, tagged Harvest</x:v>
      </x:c>
      <x:c r="G8" s="90" t="str">
        <x:v>Carbatec Brisbane, Xero, Jan 2026</x:v>
      </x:c>
      <x:c r="H8" s="91" t="str">
        <x:v>$4,575.65 + $1,811.70.</x:v>
      </x:c>
    </x:row>
    <x:row r="9">
      <x:c r="A9" s="89" t="str">
        <x:v>20ft container, Monument Grey</x:v>
      </x:c>
      <x:c r="B9" s="110"/>
      <x:c r="C9" s="110"/>
      <x:c r="D9" s="110" t="n">
        <x:v>3320</x:v>
      </x:c>
      <x:c r="E9" s="90" t="str">
        <x:v>AUD inc GST</x:v>
      </x:c>
      <x:c r="F9" s="90" t="str">
        <x:v>evidenced</x:v>
      </x:c>
      <x:c r="G9" s="90" t="str">
        <x:v>Bionic Self Storage, Xero, 2026-04-29</x:v>
      </x:c>
      <x:c r="H9" s="91" t="str">
        <x:v>Capitalised to ACT-FM The Farm.</x:v>
      </x:c>
    </x:row>
    <x:row r="10">
      <x:c r="A10" s="89" t="str">
        <x:v>Crane placement</x:v>
      </x:c>
      <x:c r="B10" s="110"/>
      <x:c r="C10" s="110"/>
      <x:c r="D10" s="110" t="n">
        <x:v>1041</x:v>
      </x:c>
      <x:c r="E10" s="90" t="str">
        <x:v>AUD inc GST</x:v>
      </x:c>
      <x:c r="F10" s="90" t="str">
        <x:v>evidenced</x:v>
      </x:c>
      <x:c r="G10" s="90" t="str">
        <x:v>GM Crane Hire, Xero, 2026-06-29</x:v>
      </x:c>
      <x:c r="H10" s="91" t="str">
        <x:v>Two 20T Franna cranes.</x:v>
      </x:c>
    </x:row>
    <x:row r="11">
      <x:c r="A11" s="89" t="str">
        <x:v>Container transport</x:v>
      </x:c>
      <x:c r="B11" s="110"/>
      <x:c r="C11" s="110"/>
      <x:c r="D11" s="110" t="n">
        <x:v>193</x:v>
      </x:c>
      <x:c r="E11" s="90" t="str">
        <x:v>AUD inc GST</x:v>
      </x:c>
      <x:c r="F11" s="90" t="str">
        <x:v>evidenced</x:v>
      </x:c>
      <x:c r="G11" s="90" t="str">
        <x:v>Rapid Container, Xero, 2026-06-24</x:v>
      </x:c>
      <x:c r="H11" s="91" t="str">
        <x:v>After-hours transport.</x:v>
      </x:c>
    </x:row>
    <x:row r="12">
      <x:c r="A12" s="89" t="str">
        <x:v>Two generators</x:v>
      </x:c>
      <x:c r="B12" s="110"/>
      <x:c r="C12" s="110"/>
      <x:c r="D12" s="110" t="n">
        <x:v>6600</x:v>
      </x:c>
      <x:c r="E12" s="90" t="str">
        <x:v>AUD inc GST</x:v>
      </x:c>
      <x:c r="F12" s="90" t="str">
        <x:v>evidenced, ambiguous</x:v>
      </x:c>
      <x:c r="G12" s="90" t="str">
        <x:v>Orange Sky Australia, Xero, 2025-05-22</x:v>
      </x:c>
      <x:c r="H12" s="91" t="str">
        <x:v>No project tag. Confirm whether both belong to GOC.</x:v>
      </x:c>
    </x:row>
    <x:row r="13">
      <x:c r="A13" s="89" t="str">
        <x:v>Larger container</x:v>
      </x:c>
      <x:c r="B13" s="110"/>
      <x:c r="C13" s="110"/>
      <x:c r="D13" s="110" t="n">
        <x:v>5904</x:v>
      </x:c>
      <x:c r="E13" s="90" t="str">
        <x:v>AUD inc GST</x:v>
      </x:c>
      <x:c r="F13" s="90" t="str">
        <x:v>evidenced, flagged</x:v>
      </x:c>
      <x:c r="G13" s="90" t="str">
        <x:v>Container Options, Xero, 2025-12-09</x:v>
      </x:c>
      <x:c r="H13" s="91" t="str">
        <x:v>Tagged Mounty Yarns and flagged as on-sold. Do not include until ownership is confirmed.</x:v>
      </x:c>
    </x:row>
    <x:row r="14">
      <x:c r="A14" s="89" t="str">
        <x:v>Shredder, Telford Smith</x:v>
      </x:c>
      <x:c r="B14" s="110"/>
      <x:c r="C14" s="110"/>
      <x:c r="D14" s="110" t="n">
        <x:v>19800</x:v>
      </x:c>
      <x:c r="E14" s="90" t="str">
        <x:v>AUD</x:v>
      </x:c>
      <x:c r="F14" s="90" t="str">
        <x:v>physical only</x:v>
      </x:c>
      <x:c r="G14" s="90" t="str">
        <x:v>Ben confirmation; no record in connected Xero</x:v>
      </x:c>
      <x:c r="H14" s="91" t="str">
        <x:v>Owned, invoice to locate.</x:v>
      </x:c>
    </x:row>
    <x:row r="15">
      <x:c r="A15" s="89" t="str">
        <x:v>Bigger CNC router</x:v>
      </x:c>
      <x:c r="B15" s="110"/>
      <x:c r="C15" s="110"/>
      <x:c r="D15" s="110"/>
      <x:c r="E15" s="90" t="str">
        <x:v>AUD</x:v>
      </x:c>
      <x:c r="F15" s="90" t="str">
        <x:v>open</x:v>
      </x:c>
      <x:c r="G15" s="90" t="str">
        <x:v>MVF section 4b</x:v>
      </x:c>
      <x:c r="H15" s="91" t="str">
        <x:v>Recently purchased. Amount and purchasing entity to confirm. About $5,135 installation is booked separately.</x:v>
      </x:c>
    </x:row>
    <x:row r="16">
      <x:c r="A16" s="89"/>
      <x:c r="B16" s="110"/>
      <x:c r="C16" s="110"/>
      <x:c r="D16" s="110"/>
      <x:c r="E16" s="90"/>
      <x:c r="F16" s="90"/>
      <x:c r="G16" s="90"/>
      <x:c r="H16" s="91"/>
    </x:row>
    <x:row r="17">
      <x:c r="A17" s="139" t="str">
        <x:v>2. NEW-SITE REPLICATION: MIXED EVIDENCE AND ESTIMATES</x:v>
      </x:c>
      <x:c r="B17" s="148"/>
      <x:c r="C17" s="148"/>
      <x:c r="D17" s="148"/>
      <x:c r="E17" s="140"/>
      <x:c r="F17" s="140"/>
      <x:c r="G17" s="140"/>
      <x:c r="H17" s="141"/>
    </x:row>
    <x:row r="18">
      <x:c r="A18" s="145" t="str">
        <x:v>Cost item</x:v>
      </x:c>
      <x:c r="B18" s="149" t="str">
        <x:v>Low</x:v>
      </x:c>
      <x:c r="C18" s="149" t="str">
        <x:v>High</x:v>
      </x:c>
      <x:c r="D18" s="149" t="str">
        <x:v>Selected/current</x:v>
      </x:c>
      <x:c r="E18" s="146" t="str">
        <x:v>Unit</x:v>
      </x:c>
      <x:c r="F18" s="146" t="str">
        <x:v>Status</x:v>
      </x:c>
      <x:c r="G18" s="146" t="str">
        <x:v>Source</x:v>
      </x:c>
      <x:c r="H18" s="147" t="str">
        <x:v>Notes</x:v>
      </x:c>
    </x:row>
    <x:row r="19">
      <x:c r="A19" s="89" t="str">
        <x:v>40ft shipping container</x:v>
      </x:c>
      <x:c r="B19" s="110" t="n">
        <x:v>13000</x:v>
      </x:c>
      <x:c r="C19" s="110" t="n">
        <x:v>16000</x:v>
      </x:c>
      <x:c r="D19" s="110" t="n">
        <x:v>14500</x:v>
      </x:c>
      <x:c r="E19" s="90" t="str">
        <x:v>AUD</x:v>
      </x:c>
      <x:c r="F19" s="90" t="str">
        <x:v>modelled</x:v>
      </x:c>
      <x:c r="G19" s="90" t="str">
        <x:v>Ben / MVF replication model</x:v>
      </x:c>
      <x:c r="H19" s="91" t="str">
        <x:v>Market-rate fresh-site range.</x:v>
      </x:c>
    </x:row>
    <x:row r="20">
      <x:c r="A20" s="89" t="str">
        <x:v>20ft shipping container</x:v>
      </x:c>
      <x:c r="B20" s="110" t="n">
        <x:v>6000</x:v>
      </x:c>
      <x:c r="C20" s="110" t="n">
        <x:v>10000</x:v>
      </x:c>
      <x:c r="D20" s="110" t="n">
        <x:v>8000</x:v>
      </x:c>
      <x:c r="E20" s="90" t="str">
        <x:v>AUD</x:v>
      </x:c>
      <x:c r="F20" s="90" t="str">
        <x:v>modelled</x:v>
      </x:c>
      <x:c r="G20" s="90" t="str">
        <x:v>Ben / MVF replication model</x:v>
      </x:c>
      <x:c r="H20" s="91" t="str">
        <x:v>Market-rate fresh-site range.</x:v>
      </x:c>
    </x:row>
    <x:row r="21">
      <x:c r="A21" s="89" t="str">
        <x:v>Diesel generator, press-line sized</x:v>
      </x:c>
      <x:c r="B21" s="110" t="n">
        <x:v>6600</x:v>
      </x:c>
      <x:c r="C21" s="110" t="n">
        <x:v>20000</x:v>
      </x:c>
      <x:c r="D21" s="110" t="n">
        <x:v>13300</x:v>
      </x:c>
      <x:c r="E21" s="90" t="str">
        <x:v>AUD</x:v>
      </x:c>
      <x:c r="F21" s="90" t="str">
        <x:v>mixed</x:v>
      </x:c>
      <x:c r="G21" s="90" t="str">
        <x:v>Orange Sky actual to proper diesel estimate</x:v>
      </x:c>
      <x:c r="H21" s="91" t="str">
        <x:v>Capacity and site power requirement need confirmation.</x:v>
      </x:c>
    </x:row>
    <x:row r="22">
      <x:c r="A22" s="89" t="str">
        <x:v>Shredder</x:v>
      </x:c>
      <x:c r="B22" s="110" t="n">
        <x:v>19800</x:v>
      </x:c>
      <x:c r="C22" s="110" t="n">
        <x:v>19800</x:v>
      </x:c>
      <x:c r="D22" s="110" t="n">
        <x:v>19800</x:v>
      </x:c>
      <x:c r="E22" s="90" t="str">
        <x:v>AUD</x:v>
      </x:c>
      <x:c r="F22" s="90" t="str">
        <x:v>physical basis</x:v>
      </x:c>
      <x:c r="G22" s="90" t="str">
        <x:v>Existing Telford Smith unit</x:v>
      </x:c>
      <x:c r="H22" s="91" t="str">
        <x:v>Invoice still to locate.</x:v>
      </x:c>
    </x:row>
    <x:row r="23">
      <x:c r="A23" s="89" t="str">
        <x:v>Press + cold press + CNC</x:v>
      </x:c>
      <x:c r="B23" s="110" t="n">
        <x:v>32780</x:v>
      </x:c>
      <x:c r="C23" s="110" t="n">
        <x:v>32780</x:v>
      </x:c>
      <x:c r="D23" s="110" t="n">
        <x:v>32780</x:v>
      </x:c>
      <x:c r="E23" s="90" t="str">
        <x:v>AUD inc GST</x:v>
      </x:c>
      <x:c r="F23" s="90" t="str">
        <x:v>evidenced basis</x:v>
      </x:c>
      <x:c r="G23" s="90" t="str">
        <x:v>Circularity INV-0054</x:v>
      </x:c>
      <x:c r="H23" s="91" t="str">
        <x:v>Existing purchase used as replication basis.</x:v>
      </x:c>
    </x:row>
    <x:row r="24">
      <x:c r="A24" s="89" t="str">
        <x:v>Workshop tools</x:v>
      </x:c>
      <x:c r="B24" s="110" t="n">
        <x:v>6387</x:v>
      </x:c>
      <x:c r="C24" s="110" t="n">
        <x:v>6387</x:v>
      </x:c>
      <x:c r="D24" s="110" t="n">
        <x:v>6387</x:v>
      </x:c>
      <x:c r="E24" s="90" t="str">
        <x:v>AUD inc GST</x:v>
      </x:c>
      <x:c r="F24" s="90" t="str">
        <x:v>evidenced basis</x:v>
      </x:c>
      <x:c r="G24" s="90" t="str">
        <x:v>Carbatec actuals</x:v>
      </x:c>
      <x:c r="H24" s="91" t="str">
        <x:v>Existing purchase used as replication basis.</x:v>
      </x:c>
    </x:row>
    <x:row r="25">
      <x:c r="A25" s="89" t="str">
        <x:v>Crane placement + transport</x:v>
      </x:c>
      <x:c r="B25" s="110" t="n">
        <x:v>1200</x:v>
      </x:c>
      <x:c r="C25" s="110" t="n">
        <x:v>2500</x:v>
      </x:c>
      <x:c r="D25" s="110" t="n">
        <x:v>1850</x:v>
      </x:c>
      <x:c r="E25" s="90" t="str">
        <x:v>AUD</x:v>
      </x:c>
      <x:c r="F25" s="90" t="str">
        <x:v>mixed</x:v>
      </x:c>
      <x:c r="G25" s="90" t="str">
        <x:v>Existing actuals + allowance</x:v>
      </x:c>
      <x:c r="H25" s="91" t="str">
        <x:v>Remote/site conditions can move this materially.</x:v>
      </x:c>
    </x:row>
    <x:row r="26">
      <x:c r="A26" s="89" t="str">
        <x:v>Electrical fit-out</x:v>
      </x:c>
      <x:c r="B26" s="110" t="n">
        <x:v>3000</x:v>
      </x:c>
      <x:c r="C26" s="110" t="n">
        <x:v>8000</x:v>
      </x:c>
      <x:c r="D26" s="110" t="n">
        <x:v>5500</x:v>
      </x:c>
      <x:c r="E26" s="90" t="str">
        <x:v>AUD</x:v>
      </x:c>
      <x:c r="F26" s="90" t="str">
        <x:v>allowance</x:v>
      </x:c>
      <x:c r="G26" s="90" t="str">
        <x:v>MVF replication model</x:v>
      </x:c>
      <x:c r="H26" s="91" t="str">
        <x:v>Board and three-phase work. Quote required.</x:v>
      </x:c>
    </x:row>
    <x:row r="27">
      <x:c r="A27" s="89" t="str">
        <x:v>Ventilation / fume extraction</x:v>
      </x:c>
      <x:c r="B27" s="110" t="n">
        <x:v>1000</x:v>
      </x:c>
      <x:c r="C27" s="110" t="n">
        <x:v>3000</x:v>
      </x:c>
      <x:c r="D27" s="110" t="n">
        <x:v>2000</x:v>
      </x:c>
      <x:c r="E27" s="90" t="str">
        <x:v>AUD</x:v>
      </x:c>
      <x:c r="F27" s="90" t="str">
        <x:v>allowance</x:v>
      </x:c>
      <x:c r="G27" s="90" t="str">
        <x:v>MVF replication model</x:v>
      </x:c>
      <x:c r="H27" s="91" t="str">
        <x:v>Quote required for hot-press heat load.</x:v>
      </x:c>
    </x:row>
    <x:row r="28">
      <x:c r="A28" s="89" t="str">
        <x:v>Site preparation</x:v>
      </x:c>
      <x:c r="B28" s="110" t="n">
        <x:v>500</x:v>
      </x:c>
      <x:c r="C28" s="110" t="n">
        <x:v>3000</x:v>
      </x:c>
      <x:c r="D28" s="110" t="n">
        <x:v>1750</x:v>
      </x:c>
      <x:c r="E28" s="90" t="str">
        <x:v>AUD</x:v>
      </x:c>
      <x:c r="F28" s="90" t="str">
        <x:v>allowance</x:v>
      </x:c>
      <x:c r="G28" s="90" t="str">
        <x:v>MVF replication model</x:v>
      </x:c>
      <x:c r="H28" s="91" t="str">
        <x:v>Pad and levelling.</x:v>
      </x:c>
    </x:row>
    <x:row r="29">
      <x:c r="A29" s="89" t="str">
        <x:v>PPE + startup consumables</x:v>
      </x:c>
      <x:c r="B29" s="110" t="n">
        <x:v>500</x:v>
      </x:c>
      <x:c r="C29" s="110" t="n">
        <x:v>1500</x:v>
      </x:c>
      <x:c r="D29" s="110" t="n">
        <x:v>1000</x:v>
      </x:c>
      <x:c r="E29" s="90" t="str">
        <x:v>AUD</x:v>
      </x:c>
      <x:c r="F29" s="90" t="str">
        <x:v>allowance</x:v>
      </x:c>
      <x:c r="G29" s="90" t="str">
        <x:v>MVF replication model</x:v>
      </x:c>
      <x:c r="H29" s="91" t="str">
        <x:v>Initial stock only.</x:v>
      </x:c>
    </x:row>
    <x:row r="30">
      <x:c r="A30" s="107" t="str">
        <x:v>NEW-SITE MINIMAL VIABLE FACILITY</x:v>
      </x:c>
      <x:c r="B30" s="113" t="n">
        <x:v>90767</x:v>
      </x:c>
      <x:c r="C30" s="113" t="n">
        <x:v>122967</x:v>
      </x:c>
      <x:c r="D30" s="113" t="n">
        <x:v>105000</x:v>
      </x:c>
      <x:c r="E30" s="108" t="str">
        <x:v>AUD</x:v>
      </x:c>
      <x:c r="F30" s="108" t="str">
        <x:v>modelled midpoint</x:v>
      </x:c>
      <x:c r="G30" s="108" t="str">
        <x:v>MVF reconciliation, 2026-07-22</x:v>
      </x:c>
      <x:c r="H30" s="109" t="str">
        <x:v>Use about $105K as the replication planning figure. Firm quotes required.</x:v>
      </x:c>
    </x:row>
    <x:row r="31">
      <x:c r="A31" s="89" t="str">
        <x:v>Matt container-workshop build</x:v>
      </x:c>
      <x:c r="B31" s="110"/>
      <x:c r="C31" s="110"/>
      <x:c r="D31" s="110" t="n">
        <x:v>207450</x:v>
      </x:c>
      <x:c r="E31" s="90" t="str">
        <x:v>AUD</x:v>
      </x:c>
      <x:c r="F31" s="90" t="str">
        <x:v>modelled</x:v>
      </x:c>
      <x:c r="G31" s="90" t="str">
        <x:v>Matt Inputs B27</x:v>
      </x:c>
      <x:c r="H31" s="91" t="str">
        <x:v>$167K equipment midpoint + $40,450 container lines. Different scope from the MVF replication case.</x:v>
      </x:c>
    </x:row>
    <x:row r="32">
      <x:c r="A32" s="89"/>
      <x:c r="B32" s="110"/>
      <x:c r="C32" s="110"/>
      <x:c r="D32" s="110"/>
      <x:c r="E32" s="90"/>
      <x:c r="F32" s="90"/>
      <x:c r="G32" s="90"/>
      <x:c r="H32" s="91"/>
    </x:row>
    <x:row r="33">
      <x:c r="A33" s="139" t="str">
        <x:v>3. RECURRING COSTS ALREADY FOUND</x:v>
      </x:c>
      <x:c r="B33" s="148"/>
      <x:c r="C33" s="148"/>
      <x:c r="D33" s="148"/>
      <x:c r="E33" s="140"/>
      <x:c r="F33" s="140"/>
      <x:c r="G33" s="140"/>
      <x:c r="H33" s="141"/>
    </x:row>
    <x:row r="34">
      <x:c r="A34" s="145" t="str">
        <x:v>Cost item</x:v>
      </x:c>
      <x:c r="B34" s="149" t="str">
        <x:v>Low</x:v>
      </x:c>
      <x:c r="C34" s="149" t="str">
        <x:v>High</x:v>
      </x:c>
      <x:c r="D34" s="149" t="str">
        <x:v>Selected/current</x:v>
      </x:c>
      <x:c r="E34" s="146" t="str">
        <x:v>Unit</x:v>
      </x:c>
      <x:c r="F34" s="146" t="str">
        <x:v>Status</x:v>
      </x:c>
      <x:c r="G34" s="146" t="str">
        <x:v>Source</x:v>
      </x:c>
      <x:c r="H34" s="147" t="str">
        <x:v>Notes</x:v>
      </x:c>
    </x:row>
    <x:row r="35">
      <x:c r="A35" s="89" t="str">
        <x:v>Founder full Goods time, 150 days</x:v>
      </x:c>
      <x:c r="B35" s="110"/>
      <x:c r="C35" s="110"/>
      <x:c r="D35" s="110" t="n">
        <x:v>84000</x:v>
      </x:c>
      <x:c r="E35" s="90" t="str">
        <x:v>AUD/yr</x:v>
      </x:c>
      <x:c r="F35" s="90" t="str">
        <x:v>locked</x:v>
      </x:c>
      <x:c r="G35" s="90" t="str">
        <x:v>Ben, 2026-05-29</x:v>
      </x:c>
      <x:c r="H35" s="91" t="str">
        <x:v>30 production, 50 fundraising, 25 commercialisation, 45 governance days.</x:v>
      </x:c>
    </x:row>
    <x:row r="36">
      <x:c r="A36" s="89" t="str">
        <x:v>Founder non-production time</x:v>
      </x:c>
      <x:c r="B36" s="110"/>
      <x:c r="C36" s="110"/>
      <x:c r="D36" s="110" t="n">
        <x:v>67200</x:v>
      </x:c>
      <x:c r="E36" s="90" t="str">
        <x:v>AUD/yr</x:v>
      </x:c>
      <x:c r="F36" s="90" t="str">
        <x:v>locked</x:v>
      </x:c>
      <x:c r="G36" s="90" t="str">
        <x:v>Ben, 2026-05-29</x:v>
      </x:c>
      <x:c r="H36" s="91" t="str">
        <x:v>Excluded from unit cost. Decide whether entity overhead, founder contribution or sensitivity.</x:v>
      </x:c>
    </x:row>
    <x:row r="37">
      <x:c r="A37" s="89" t="str">
        <x:v>Equipment maintenance per facility</x:v>
      </x:c>
      <x:c r="B37" s="110"/>
      <x:c r="C37" s="110"/>
      <x:c r="D37" s="110" t="n">
        <x:v>8350</x:v>
      </x:c>
      <x:c r="E37" s="90" t="str">
        <x:v>AUD/facility/yr</x:v>
      </x:c>
      <x:c r="F37" s="90" t="str">
        <x:v>placeholder</x:v>
      </x:c>
      <x:c r="G37" s="90" t="str">
        <x:v>GoC Q&amp;A Q9; Matt selected 5%</x:v>
      </x:c>
      <x:c r="H37" s="91" t="str">
        <x:v>5% of $167K equipment. Vendor quotes pending.</x:v>
      </x:c>
    </x:row>
    <x:row r="38">
      <x:c r="A38" s="89" t="str">
        <x:v>Community lease, rent, utilities and site</x:v>
      </x:c>
      <x:c r="B38" s="110"/>
      <x:c r="C38" s="110"/>
      <x:c r="D38" s="110" t="n">
        <x:v>60000</x:v>
      </x:c>
      <x:c r="E38" s="90" t="str">
        <x:v>AUD/site/yr</x:v>
      </x:c>
      <x:c r="F38" s="90" t="str">
        <x:v>as-written</x:v>
      </x:c>
      <x:c r="G38" s="90" t="str">
        <x:v>Oonchiumpa DEWR application</x:v>
      </x:c>
      <x:c r="H38" s="91" t="str">
        <x:v>$180K over three years.</x:v>
      </x:c>
    </x:row>
    <x:row r="39">
      <x:c r="A39" s="89" t="str">
        <x:v>Community facility insurance</x:v>
      </x:c>
      <x:c r="B39" s="110"/>
      <x:c r="C39" s="110"/>
      <x:c r="D39" s="110" t="n">
        <x:v>40000</x:v>
      </x:c>
      <x:c r="E39" s="90" t="str">
        <x:v>AUD/site/yr</x:v>
      </x:c>
      <x:c r="F39" s="90" t="str">
        <x:v>as-written</x:v>
      </x:c>
      <x:c r="G39" s="90" t="str">
        <x:v>Oonchiumpa DEWR application</x:v>
      </x:c>
      <x:c r="H39" s="91" t="str">
        <x:v>$120K over three years.</x:v>
      </x:c>
    </x:row>
    <x:row r="40">
      <x:c r="A40" s="89" t="str">
        <x:v>Community administration, accounting and IT</x:v>
      </x:c>
      <x:c r="B40" s="110"/>
      <x:c r="C40" s="110"/>
      <x:c r="D40" s="110" t="n">
        <x:v>33333</x:v>
      </x:c>
      <x:c r="E40" s="90" t="str">
        <x:v>AUD/site/yr</x:v>
      </x:c>
      <x:c r="F40" s="90" t="str">
        <x:v>as-written</x:v>
      </x:c>
      <x:c r="G40" s="90" t="str">
        <x:v>Oonchiumpa DEWR application</x:v>
      </x:c>
      <x:c r="H40" s="91" t="str">
        <x:v>$100K over three years.</x:v>
      </x:c>
    </x:row>
    <x:row r="41">
      <x:c r="A41" s="89" t="str">
        <x:v>Community machine upkeep and consumables</x:v>
      </x:c>
      <x:c r="B41" s="110"/>
      <x:c r="C41" s="110"/>
      <x:c r="D41" s="110" t="n">
        <x:v>18333</x:v>
      </x:c>
      <x:c r="E41" s="90" t="str">
        <x:v>AUD/site/yr</x:v>
      </x:c>
      <x:c r="F41" s="90" t="str">
        <x:v>as-written</x:v>
      </x:c>
      <x:c r="G41" s="90" t="str">
        <x:v>Oonchiumpa DEWR application</x:v>
      </x:c>
      <x:c r="H41" s="91" t="str">
        <x:v>$55K over three years.</x:v>
      </x:c>
    </x:row>
    <x:row r="42">
      <x:c r="A42" s="107" t="str">
        <x:v>BARE COMMUNITY FACILITY</x:v>
      </x:c>
      <x:c r="B42" s="113"/>
      <x:c r="C42" s="113"/>
      <x:c r="D42" s="113" t="n">
        <x:v>151666</x:v>
      </x:c>
      <x:c r="E42" s="108" t="str">
        <x:v>AUD/site/yr</x:v>
      </x:c>
      <x:c r="F42" s="108" t="str">
        <x:v>derived</x:v>
      </x:c>
      <x:c r="G42" s="108" t="str">
        <x:v>Sum of DEWR facility lines</x:v>
      </x:c>
      <x:c r="H42" s="109" t="str">
        <x:v>Pot 2. Do not add the old $24K rent-only figure.</x:v>
      </x:c>
    </x:row>
    <x:row r="43">
      <x:c r="A43" s="89" t="str">
        <x:v>Community project manager incl. super</x:v>
      </x:c>
      <x:c r="B43" s="110"/>
      <x:c r="C43" s="110"/>
      <x:c r="D43" s="110" t="n">
        <x:v>150000</x:v>
      </x:c>
      <x:c r="E43" s="90" t="str">
        <x:v>AUD/site/yr</x:v>
      </x:c>
      <x:c r="F43" s="90" t="str">
        <x:v>as-written</x:v>
      </x:c>
      <x:c r="G43" s="90" t="str">
        <x:v>Oonchiumpa DEWR application</x:v>
      </x:c>
      <x:c r="H43" s="91" t="str">
        <x:v>Open alternative is a $90K coordinator.</x:v>
      </x:c>
    </x:row>
    <x:row r="44">
      <x:c r="A44" s="89" t="str">
        <x:v>Trainer / WHS officer</x:v>
      </x:c>
      <x:c r="B44" s="110"/>
      <x:c r="C44" s="110"/>
      <x:c r="D44" s="110" t="n">
        <x:v>40000</x:v>
      </x:c>
      <x:c r="E44" s="90" t="str">
        <x:v>AUD/site/yr</x:v>
      </x:c>
      <x:c r="F44" s="90" t="str">
        <x:v>modelled split</x:v>
      </x:c>
      <x:c r="G44" s="90" t="str">
        <x:v>Portion of DEWR ACT $190K line</x:v>
      </x:c>
      <x:c r="H44" s="91" t="str">
        <x:v>Estimate, not a stated standalone figure.</x:v>
      </x:c>
    </x:row>
    <x:row r="45">
      <x:c r="A45" s="107" t="str">
        <x:v>FULLY STAFFED COMMUNITY FACILITY</x:v>
      </x:c>
      <x:c r="B45" s="113"/>
      <x:c r="C45" s="113"/>
      <x:c r="D45" s="113" t="n">
        <x:v>341666</x:v>
      </x:c>
      <x:c r="E45" s="108" t="str">
        <x:v>AUD/site/yr</x:v>
      </x:c>
      <x:c r="F45" s="108" t="str">
        <x:v>derived</x:v>
      </x:c>
      <x:c r="G45" s="108" t="str">
        <x:v>Bare + manager + trainer/WHS</x:v>
      </x:c>
      <x:c r="H45" s="109" t="str">
        <x:v>Pot 2, grant/government-funded by design.</x:v>
      </x:c>
    </x:row>
    <x:row r="46">
      <x:c r="A46" s="92" t="str">
        <x:v>Employment program brokerage and wages</x:v>
      </x:c>
      <x:c r="B46" s="114"/>
      <x:c r="C46" s="114"/>
      <x:c r="D46" s="114" t="n">
        <x:v>300000</x:v>
      </x:c>
      <x:c r="E46" s="93" t="str">
        <x:v>AUD/site/yr</x:v>
      </x:c>
      <x:c r="F46" s="93" t="str">
        <x:v>as-written</x:v>
      </x:c>
      <x:c r="G46" s="93" t="str">
        <x:v>Oonchiumpa DEWR application</x:v>
      </x:c>
      <x:c r="H46" s="94" t="str">
        <x:v>Pot 2. Never carried by bed sales.</x:v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2" hidden="0" customWidth="1"/>
    <x:col min="2" max="2" width="36" hidden="0" customWidth="1"/>
    <x:col min="3" max="3" width="46" hidden="0" customWidth="1"/>
    <x:col min="4" max="4" width="22" hidden="0" customWidth="1"/>
    <x:col min="5" max="5" width="22" hidden="0" customWidth="1"/>
    <x:col min="6" max="6" width="13" hidden="0" customWidth="1"/>
    <x:col min="7" max="7" width="45" hidden="0" customWidth="1"/>
    <x:col min="8" max="8" width="45" hidden="0" customWidth="1"/>
  </x:cols>
  <x:sheetData>
    <x:row r="1">
      <x:c r="A1" s="86" t="str">
        <x:v>Open Questions for the GOC Entity Model</x:v>
      </x:c>
      <x:c r="B1" s="87"/>
      <x:c r="C1" s="87"/>
      <x:c r="D1" s="87"/>
      <x:c r="E1" s="87"/>
      <x:c r="F1" s="87"/>
      <x:c r="G1" s="87"/>
      <x:c r="H1" s="88"/>
    </x:row>
    <x:row r="2">
      <x:c r="A2" s="77" t="str">
        <x:v>Items Matt may need before the GOC-only 3-statement model can be treated as decision-ready. A blank or TBC placeholder means the codebase does not currently contain a defensible number.</x:v>
      </x:c>
      <x:c r="B2" s="78"/>
      <x:c r="C2" s="78"/>
      <x:c r="D2" s="78"/>
      <x:c r="E2" s="78"/>
      <x:c r="F2" s="78"/>
      <x:c r="G2" s="78"/>
      <x:c r="H2" s="79"/>
    </x:row>
    <x:row r="3">
      <x:c r="A3" s="89"/>
      <x:c r="B3" s="90"/>
      <x:c r="C3" s="90"/>
      <x:c r="D3" s="90"/>
      <x:c r="E3" s="90"/>
      <x:c r="F3" s="90"/>
      <x:c r="G3" s="90"/>
      <x:c r="H3" s="91"/>
    </x:row>
    <x:row r="4">
      <x:c r="A4" s="150" t="str">
        <x:v>Priority</x:v>
      </x:c>
      <x:c r="B4" s="151" t="str">
        <x:v>Question / missing input</x:v>
      </x:c>
      <x:c r="C4" s="151" t="str">
        <x:v>Current evidence</x:v>
      </x:c>
      <x:c r="D4" s="151" t="str">
        <x:v>Working placeholder</x:v>
      </x:c>
      <x:c r="E4" s="151" t="str">
        <x:v>Owner</x:v>
      </x:c>
      <x:c r="F4" s="151" t="str">
        <x:v>Status</x:v>
      </x:c>
      <x:c r="G4" s="151" t="str">
        <x:v>Why it matters</x:v>
      </x:c>
      <x:c r="H4" s="152" t="str">
        <x:v>Next action</x:v>
      </x:c>
    </x:row>
    <x:row r="5">
      <x:c r="A5" s="154" t="str">
        <x:v>Critical</x:v>
      </x:c>
      <x:c r="B5" s="90" t="str">
        <x:v>What is actual opening GOC cash?</x:v>
      </x:c>
      <x:c r="C5" s="90" t="str">
        <x:v>Current Inputs uses $50K assumption.</x:v>
      </x:c>
      <x:c r="D5" s="120" t="n">
        <x:v>50000</x:v>
      </x:c>
      <x:c r="E5" s="90" t="str">
        <x:v>Ben + accountant</x:v>
      </x:c>
      <x:c r="F5" s="90" t="str">
        <x:v>open</x:v>
      </x:c>
      <x:c r="G5" s="90" t="str">
        <x:v>Controls the cash trough and funding requirement.</x:v>
      </x:c>
      <x:c r="H5" s="91" t="str">
        <x:v>Confirm bank balance and entity migration date.</x:v>
      </x:c>
    </x:row>
    <x:row r="6">
      <x:c r="A6" s="154" t="str">
        <x:v>Critical</x:v>
      </x:c>
      <x:c r="B6" s="90" t="str">
        <x:v>Which replication capex scope should Matt use?</x:v>
      </x:c>
      <x:c r="C6" s="90" t="str">
        <x:v>MVF $90.8K-$123K, midpoint ~$105K. Matt full container build $207,450.</x:v>
      </x:c>
      <x:c r="D6" s="120" t="n">
        <x:v>105000</x:v>
      </x:c>
      <x:c r="E6" s="90" t="str">
        <x:v>Ben + Matt</x:v>
      </x:c>
      <x:c r="F6" s="90" t="str">
        <x:v>open</x:v>
      </x:c>
      <x:c r="G6" s="90" t="str">
        <x:v>Changes funding need and depreciation.</x:v>
      </x:c>
      <x:c r="H6" s="91" t="str">
        <x:v>Choose scope, then obtain firm vendor quotes.</x:v>
      </x:c>
    </x:row>
    <x:row r="7">
      <x:c r="A7" s="154" t="str">
        <x:v>Critical</x:v>
      </x:c>
      <x:c r="B7" s="90" t="str">
        <x:v>What did the bigger CNC cost, and who owns it?</x:v>
      </x:c>
      <x:c r="C7" s="90" t="str">
        <x:v>Recently purchased. About $5,135 installation booked.</x:v>
      </x:c>
      <x:c r="D7" s="118" t="str">
        <x:v>TBC</x:v>
      </x:c>
      <x:c r="E7" s="90" t="str">
        <x:v>Ben + bookkeeper</x:v>
      </x:c>
      <x:c r="F7" s="90" t="str">
        <x:v>open</x:v>
      </x:c>
      <x:c r="G7" s="90" t="str">
        <x:v>Opening PP&amp;E and ownership cannot reconcile without it.</x:v>
      </x:c>
      <x:c r="H7" s="91" t="str">
        <x:v>Locate invoice and purchasing entity.</x:v>
      </x:c>
    </x:row>
    <x:row r="8">
      <x:c r="A8" s="154" t="str">
        <x:v>Critical</x:v>
      </x:c>
      <x:c r="B8" s="90" t="str">
        <x:v>Have the shredder and container ownership records been located?</x:v>
      </x:c>
      <x:c r="C8" s="90" t="str">
        <x:v>$19,800 shredder is physical-only. Some container costs are ambiguously tagged.</x:v>
      </x:c>
      <x:c r="D8" s="118" t="str">
        <x:v>TBC</x:v>
      </x:c>
      <x:c r="E8" s="90" t="str">
        <x:v>Ben + bookkeeper</x:v>
      </x:c>
      <x:c r="F8" s="90" t="str">
        <x:v>open</x:v>
      </x:c>
      <x:c r="G8" s="90" t="str">
        <x:v>Determines opening assets and evidence quality.</x:v>
      </x:c>
      <x:c r="H8" s="91" t="str">
        <x:v>Locate invoices or formally document owned, invoice to locate.</x:v>
      </x:c>
    </x:row>
    <x:row r="9">
      <x:c r="A9" s="154" t="str">
        <x:v>Critical</x:v>
      </x:c>
      <x:c r="B9" s="90" t="str">
        <x:v>Was the 40-bed run measured for time, diesel and yield?</x:v>
      </x:c>
      <x:c r="C9" s="90" t="str">
        <x:v>Factory process proven on 40 Maningrida beds. Per-bed cost remains modelled.</x:v>
      </x:c>
      <x:c r="D9" s="118" t="str">
        <x:v>Short measured run</x:v>
      </x:c>
      <x:c r="E9" s="90" t="str">
        <x:v>Ben + production lead</x:v>
      </x:c>
      <x:c r="F9" s="90" t="str">
        <x:v>open</x:v>
      </x:c>
      <x:c r="G9" s="90" t="str">
        <x:v>Locks the $425.74 factory cost and sustained capacity.</x:v>
      </x:c>
      <x:c r="H9" s="91" t="str">
        <x:v>Recover run records or perform a measured run.</x:v>
      </x:c>
    </x:row>
    <x:row r="10">
      <x:c r="A10" s="154" t="str">
        <x:v>Critical</x:v>
      </x:c>
      <x:c r="B10" s="90" t="str">
        <x:v>What sustained beds-per-facility capacity should be modelled?</x:v>
      </x:c>
      <x:c r="C10" s="90" t="str">
        <x:v>Sources say 250, 1,250 and about 1,500 beds/yr. Matt uses 500.</x:v>
      </x:c>
      <x:c r="D10" s="153" t="n">
        <x:v>500</x:v>
      </x:c>
      <x:c r="E10" s="90" t="str">
        <x:v>Ben + production lead</x:v>
      </x:c>
      <x:c r="F10" s="90" t="str">
        <x:v>open</x:v>
      </x:c>
      <x:c r="G10" s="90" t="str">
        <x:v>Determines whether production and community facilities are viable.</x:v>
      </x:c>
      <x:c r="H10" s="91" t="str">
        <x:v>Use 500 conservatively until the measured run resolves it.</x:v>
      </x:c>
    </x:row>
    <x:row r="11">
      <x:c r="A11" s="154" t="str">
        <x:v>Critical</x:v>
      </x:c>
      <x:c r="B11" s="90" t="str">
        <x:v>What is the actual capital stack and draw timing?</x:v>
      </x:c>
      <x:c r="C11" s="90" t="str">
        <x:v>SEFA $300K, QBE $400K and philanthropy $500K are placeholders. Signed match today is $0.</x:v>
      </x:c>
      <x:c r="D11" s="118" t="str">
        <x:v>TBC</x:v>
      </x:c>
      <x:c r="E11" s="90" t="str">
        <x:v>Ben + Matt + QBE</x:v>
      </x:c>
      <x:c r="F11" s="90" t="str">
        <x:v>open</x:v>
      </x:c>
      <x:c r="G11" s="90" t="str">
        <x:v>Drives debt, cash and interest.</x:v>
      </x:c>
      <x:c r="H11" s="91" t="str">
        <x:v>Confirm instrument, amount, date and matching eligibility.</x:v>
      </x:c>
    </x:row>
    <x:row r="12">
      <x:c r="A12" s="154" t="str">
        <x:v>Critical</x:v>
      </x:c>
      <x:c r="B12" s="90" t="str">
        <x:v>What entity owns assets and trades at forecast start?</x:v>
      </x:c>
      <x:c r="C12" s="90" t="str">
        <x:v>Historical activity is in the sole trader. Pty Ltd migration and plant handover are not complete.</x:v>
      </x:c>
      <x:c r="D12" s="118" t="str">
        <x:v>TBC</x:v>
      </x:c>
      <x:c r="E12" s="90" t="str">
        <x:v>Ben + legal + accountant</x:v>
      </x:c>
      <x:c r="F12" s="90" t="str">
        <x:v>open</x:v>
      </x:c>
      <x:c r="G12" s="90" t="str">
        <x:v>Sets opening balance sheet, tax and related-party treatment.</x:v>
      </x:c>
      <x:c r="H12" s="91" t="str">
        <x:v>Confirm transfer date, values and legal structure.</x:v>
      </x:c>
    </x:row>
    <x:row r="13">
      <x:c r="A13" s="155" t="str">
        <x:v>High</x:v>
      </x:c>
      <x:c r="B13" s="90" t="str">
        <x:v>Should $67,200 founder non-production time be an entity expense?</x:v>
      </x:c>
      <x:c r="C13" s="90" t="str">
        <x:v>Locked 120 days x $560. Excluded from unit cost.</x:v>
      </x:c>
      <x:c r="D13" s="120" t="n">
        <x:v>67200</x:v>
      </x:c>
      <x:c r="E13" s="90" t="str">
        <x:v>Ben + Matt</x:v>
      </x:c>
      <x:c r="F13" s="90" t="str">
        <x:v>open</x:v>
      </x:c>
      <x:c r="G13" s="90" t="str">
        <x:v>Without treatment, overhead and profitability can be overstated.</x:v>
      </x:c>
      <x:c r="H13" s="91" t="str">
        <x:v>Choose expense, founder contribution or disclosed sensitivity.</x:v>
      </x:c>
    </x:row>
    <x:row r="14">
      <x:c r="A14" s="155" t="str">
        <x:v>High</x:v>
      </x:c>
      <x:c r="B14" s="90" t="str">
        <x:v>Can historical $309,126 expenses be split by category?</x:v>
      </x:c>
      <x:c r="C14" s="90" t="str">
        <x:v>Only an aggregate cash-basis Goods expense figure is available here.</x:v>
      </x:c>
      <x:c r="D14" s="118" t="str">
        <x:v>TBC</x:v>
      </x:c>
      <x:c r="E14" s="90" t="str">
        <x:v>Accountant + bookkeeper</x:v>
      </x:c>
      <x:c r="F14" s="90" t="str">
        <x:v>open</x:v>
      </x:c>
      <x:c r="G14" s="90" t="str">
        <x:v>Matt needs a recurring overhead base, not one aggregate.</x:v>
      </x:c>
      <x:c r="H14" s="91" t="str">
        <x:v>Provide accountant carve-out by direct cost, payroll, travel, professional services and other.</x:v>
      </x:c>
    </x:row>
    <x:row r="15">
      <x:c r="A15" s="155" t="str">
        <x:v>High</x:v>
      </x:c>
      <x:c r="B15" s="90" t="str">
        <x:v>Site manager or coordinator?</x:v>
      </x:c>
      <x:c r="C15" s="90" t="str">
        <x:v>DEWR prices $150K incl. super. Alternative $90K coordinator is an assumption.</x:v>
      </x:c>
      <x:c r="D15" s="120" t="n">
        <x:v>150000</x:v>
      </x:c>
      <x:c r="E15" s="90" t="str">
        <x:v>Ben + community partner</x:v>
      </x:c>
      <x:c r="F15" s="90" t="str">
        <x:v>open</x:v>
      </x:c>
      <x:c r="G15" s="90" t="str">
        <x:v>Moves staffed-site cost and break-even materially.</x:v>
      </x:c>
      <x:c r="H15" s="91" t="str">
        <x:v>Confirm operating design for each site type.</x:v>
      </x:c>
    </x:row>
    <x:row r="16">
      <x:c r="A16" s="155" t="str">
        <x:v>High</x:v>
      </x:c>
      <x:c r="B16" s="90" t="str">
        <x:v>Is the $40K trainer/WHS split correct?</x:v>
      </x:c>
      <x:c r="C16" s="90" t="str">
        <x:v>Derived from a blended $190K ACT machinery + trainer/WHS line.</x:v>
      </x:c>
      <x:c r="D16" s="120" t="n">
        <x:v>40000</x:v>
      </x:c>
      <x:c r="E16" s="90" t="str">
        <x:v>Ben + Oonchiumpa</x:v>
      </x:c>
      <x:c r="F16" s="90" t="str">
        <x:v>open</x:v>
      </x:c>
      <x:c r="G16" s="90" t="str">
        <x:v>The number is not stated separately in the application.</x:v>
      </x:c>
      <x:c r="H16" s="91" t="str">
        <x:v>Obtain the underlying budget split.</x:v>
      </x:c>
    </x:row>
    <x:row r="17">
      <x:c r="A17" s="155" t="str">
        <x:v>High</x:v>
      </x:c>
      <x:c r="B17" s="90" t="str">
        <x:v>What working-capital treatment applies to grants?</x:v>
      </x:c>
      <x:c r="C17" s="90" t="str">
        <x:v>30 debtor, 30 creditor and 45 inventory days only address normal operations.</x:v>
      </x:c>
      <x:c r="D17" s="118" t="str">
        <x:v>TBC</x:v>
      </x:c>
      <x:c r="E17" s="90" t="str">
        <x:v>Matt + accountant</x:v>
      </x:c>
      <x:c r="F17" s="90" t="str">
        <x:v>open</x:v>
      </x:c>
      <x:c r="G17" s="90" t="str">
        <x:v>Grant receivables and acquittal timing can dominate cash.</x:v>
      </x:c>
      <x:c r="H17" s="91" t="str">
        <x:v>Set grant invoice, receipt and restricted-fund timing.</x:v>
      </x:c>
    </x:row>
    <x:row r="18">
      <x:c r="A18" s="155" t="str">
        <x:v>High</x:v>
      </x:c>
      <x:c r="B18" s="90" t="str">
        <x:v>What are debt fees, term and repayment profile?</x:v>
      </x:c>
      <x:c r="C18" s="90" t="str">
        <x:v>Only a 6% interest assumption exists.</x:v>
      </x:c>
      <x:c r="D18" s="118" t="str">
        <x:v>TBC</x:v>
      </x:c>
      <x:c r="E18" s="90" t="str">
        <x:v>Matt + lenders</x:v>
      </x:c>
      <x:c r="F18" s="90" t="str">
        <x:v>open</x:v>
      </x:c>
      <x:c r="G18" s="90" t="str">
        <x:v>Interest-only is not enough for a financing schedule.</x:v>
      </x:c>
      <x:c r="H18" s="91" t="str">
        <x:v>Add establishment fee, draw dates, maturity and principal repayments.</x:v>
      </x:c>
    </x:row>
    <x:row r="19">
      <x:c r="A19" s="155" t="str">
        <x:v>High</x:v>
      </x:c>
      <x:c r="B19" s="90" t="str">
        <x:v>What tax and GST treatment applies?</x:v>
      </x:c>
      <x:c r="C19" s="90" t="str">
        <x:v>25% company-tax placeholder. Rough GST payable signal ~$29,657 is unverified.</x:v>
      </x:c>
      <x:c r="D19" s="118" t="str">
        <x:v>TBC</x:v>
      </x:c>
      <x:c r="E19" s="90" t="str">
        <x:v>Accountant</x:v>
      </x:c>
      <x:c r="F19" s="90" t="str">
        <x:v>open</x:v>
      </x:c>
      <x:c r="G19" s="90" t="str">
        <x:v>Grants, losses, DGR flows and asset transfers may differ by entity.</x:v>
      </x:c>
      <x:c r="H19" s="91" t="str">
        <x:v>Confirm company tax, GST-free grants, BAS and loss carry-forwards.</x:v>
      </x:c>
    </x:row>
    <x:row r="20">
      <x:c r="A20" s="156" t="str">
        <x:v>Medium</x:v>
      </x:c>
      <x:c r="B20" s="90" t="str">
        <x:v>What central entity overheads sit outside the $109,500 block?</x:v>
      </x:c>
      <x:c r="C20" s="90" t="str">
        <x:v>No defensible standalone totals for legal, audit, insurance, software, governance or banking.</x:v>
      </x:c>
      <x:c r="D20" s="118" t="str">
        <x:v>TBC</x:v>
      </x:c>
      <x:c r="E20" s="90" t="str">
        <x:v>Ben + accountant</x:v>
      </x:c>
      <x:c r="F20" s="90" t="str">
        <x:v>open</x:v>
      </x:c>
      <x:c r="G20" s="90" t="str">
        <x:v>These costs are required in an entity P&amp;L.</x:v>
      </x:c>
      <x:c r="H20" s="91" t="str">
        <x:v>Extract actuals and set a Year 1 budget.</x:v>
      </x:c>
    </x:row>
    <x:row r="21">
      <x:c r="A21" s="156" t="str">
        <x:v>Medium</x:v>
      </x:c>
      <x:c r="B21" s="90" t="str">
        <x:v>What payroll on-cost assumptions should apply?</x:v>
      </x:c>
      <x:c r="C21" s="90" t="str">
        <x:v>DEWR manager includes super. Other labour assumptions may not.</x:v>
      </x:c>
      <x:c r="D21" s="118" t="str">
        <x:v>TBC</x:v>
      </x:c>
      <x:c r="E21" s="90" t="str">
        <x:v>Accountant</x:v>
      </x:c>
      <x:c r="F21" s="90" t="str">
        <x:v>open</x:v>
      </x:c>
      <x:c r="G21" s="90" t="str">
        <x:v>Super, leave, workers compensation and payroll tax can materially change staffing cost.</x:v>
      </x:c>
      <x:c r="H21" s="91" t="str">
        <x:v>Confirm which labour lines are fully loaded.</x:v>
      </x:c>
    </x:row>
    <x:row r="22">
      <x:c r="A22" s="156" t="str">
        <x:v>Medium</x:v>
      </x:c>
      <x:c r="B22" s="90" t="str">
        <x:v>What warranty and replacement provision is appropriate?</x:v>
      </x:c>
      <x:c r="C22" s="90" t="str">
        <x:v>Stretch Bed has a five-year warranty. No provision is in the pack.</x:v>
      </x:c>
      <x:c r="D22" s="118" t="str">
        <x:v>TBC</x:v>
      </x:c>
      <x:c r="E22" s="90" t="str">
        <x:v>Ben + Matt</x:v>
      </x:c>
      <x:c r="F22" s="90" t="str">
        <x:v>open</x:v>
      </x:c>
      <x:c r="G22" s="90" t="str">
        <x:v>A credible product P&amp;L needs expected warranty cost.</x:v>
      </x:c>
      <x:c r="H22" s="91" t="str">
        <x:v>Review claims history and set a percent-of-sales provision.</x:v>
      </x:c>
    </x:row>
    <x:row r="23">
      <x:c r="A23" s="156" t="str">
        <x:v>Medium</x:v>
      </x:c>
      <x:c r="B23" s="90" t="str">
        <x:v>What bad-debt, inventory-loss and production-yield allowances apply?</x:v>
      </x:c>
      <x:c r="C23" s="90" t="str">
        <x:v>No current assumptions. Factory yield has not been measured at sustained rate.</x:v>
      </x:c>
      <x:c r="D23" s="118" t="str">
        <x:v>TBC</x:v>
      </x:c>
      <x:c r="E23" s="90" t="str">
        <x:v>Ben + accountant</x:v>
      </x:c>
      <x:c r="F23" s="90" t="str">
        <x:v>open</x:v>
      </x:c>
      <x:c r="G23" s="90" t="str">
        <x:v>Avoids overstating margin, AR and inventory.</x:v>
      </x:c>
      <x:c r="H23" s="91" t="str">
        <x:v>Use actual history or conservative placeholders.</x:v>
      </x:c>
    </x:row>
    <x:row r="24">
      <x:c r="A24" s="156" t="str">
        <x:v>Medium</x:v>
      </x:c>
      <x:c r="B24" s="90" t="str">
        <x:v>What inflation and price-indexation assumptions apply?</x:v>
      </x:c>
      <x:c r="C24" s="90" t="str">
        <x:v>$750 price is held flat and no cost inflation is modelled.</x:v>
      </x:c>
      <x:c r="D24" s="118" t="str">
        <x:v>TBC</x:v>
      </x:c>
      <x:c r="E24" s="90" t="str">
        <x:v>Ben + Matt</x:v>
      </x:c>
      <x:c r="F24" s="90" t="str">
        <x:v>open</x:v>
      </x:c>
      <x:c r="G24" s="90" t="str">
        <x:v>Longer forecasts otherwise create misleading margins.</x:v>
      </x:c>
      <x:c r="H24" s="91" t="str">
        <x:v>Set annual price, wages, materials and facility escalation.</x:v>
      </x:c>
    </x:row>
    <x:row r="25">
      <x:c r="A25" s="156" t="str">
        <x:v>Medium</x:v>
      </x:c>
      <x:c r="B25" s="90" t="str">
        <x:v>What volumes and production-path mix are supportable by demand?</x:v>
      </x:c>
      <x:c r="C25" s="90" t="str">
        <x:v>Matt's unit model is capacity-driven. Demand constraint remains open.</x:v>
      </x:c>
      <x:c r="D25" s="118" t="str">
        <x:v>TBC</x:v>
      </x:c>
      <x:c r="E25" s="90" t="str">
        <x:v>Ben + commercial lead</x:v>
      </x:c>
      <x:c r="F25" s="90" t="str">
        <x:v>open</x:v>
      </x:c>
      <x:c r="G25" s="90" t="str">
        <x:v>Revenue cannot be based on capacity alone.</x:v>
      </x:c>
      <x:c r="H25" s="91" t="str">
        <x:v>Build a signed/weighted demand schedule by buyer and year.</x:v>
      </x:c>
    </x:row>
    <x:row r="26">
      <x:c r="A26" s="157" t="str">
        <x:v>Medium</x:v>
      </x:c>
      <x:c r="B26" s="93" t="str">
        <x:v>How should Pot 2 grant income match Pot 2 costs?</x:v>
      </x:c>
      <x:c r="C26" s="93" t="str">
        <x:v>Bare $151,666, staffed $341,666 and program $300K costs are known, but funding timing is not.</x:v>
      </x:c>
      <x:c r="D26" s="119" t="str">
        <x:v>TBC</x:v>
      </x:c>
      <x:c r="E26" s="93" t="str">
        <x:v>Ben + Matt</x:v>
      </x:c>
      <x:c r="F26" s="93" t="str">
        <x:v>open</x:v>
      </x:c>
      <x:c r="G26" s="93" t="str">
        <x:v>Prevents production revenue from implicitly subsidising the wraparound.</x:v>
      </x:c>
      <x:c r="H26" s="94" t="str">
        <x:v>Model separate restricted grant income and cost centres.</x:v>
      </x:c>
    </x:row>
  </x:sheetData>
  <x:mergeCells>
    <x:mergeCell ref="A2:H2"/>
    <x:mergeCell ref="A1:H1"/>
  </x:mergeCells>
  <x:pageMargins left="0.7" right="0.7" top="0.75" bottom="0.75" header="0.3" footer="0.3"/>
</x:worksheet>
</file>