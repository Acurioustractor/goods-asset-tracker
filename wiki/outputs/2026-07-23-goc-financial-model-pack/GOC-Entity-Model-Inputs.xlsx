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3d6522631c46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51571d1169db44de"/>
    <x:sheet xmlns:r="http://schemas.openxmlformats.org/officeDocument/2006/relationships" name="Notes" sheetId="2" r:id="R290fc949b7f44c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9">
    <x:font>
      <x:sz val="11"/>
      <x:color theme="1"/>
      <x:name val="Calibri"/>
    </x:font>
    <x:font>
      <x:b/>
      <x:sz val="13"/>
    </x:font>
    <x:font>
      <x:sz val="9"/>
      <x:color rgb="FF666666"/>
    </x:font>
    <x:font>
      <x:b/>
      <x:sz val="11"/>
      <x:color rgb="FFFFFFFF"/>
    </x:font>
    <x:font>
      <x:b/>
    </x:font>
    <x:font>
      <x:color rgb="FF0000CC"/>
    </x:font>
    <x:font>
      <x:b/>
      <x:sz val="13"/>
      <x:name val="Arial"/>
    </x:font>
    <x:font>
      <x:sz val="11"/>
      <x:color theme="1"/>
      <x:name val="Arial"/>
    </x:font>
    <x:font>
      <x:sz val="9"/>
      <x:color rgb="FF666666"/>
      <x:name val="Arial"/>
    </x:font>
    <x:font>
      <x:b/>
      <x:sz val="11"/>
      <x:color rgb="FFFFFFFF"/>
      <x:name val="Arial"/>
    </x:font>
    <x:font>
      <x:b/>
      <x:name val="Arial"/>
    </x:font>
    <x:font>
      <x:color rgb="FF0000CC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9"/>
      <x:color rgb="FF595959"/>
      <x:name val="Arial"/>
    </x:font>
    <x:font>
      <x:sz val="10"/>
      <x:color rgb="FF0000CC"/>
      <x:name val="Arial"/>
    </x:font>
    <x:font>
      <x:sz val="9"/>
      <x:color rgb="FF595959"/>
      <x:name val="Arial"/>
    </x:font>
    <x:font>
      <x:b/>
      <x:sz val="11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E5395"/>
      </x:patternFill>
    </x:fill>
    <x:fill>
      <x:patternFill patternType="solid">
        <x:fgColor rgb="FF1F4E5F"/>
      </x:patternFill>
    </x:fill>
    <x:fill>
      <x:patternFill patternType="solid">
        <x:fgColor rgb="FFD9E7F3"/>
      </x:patternFill>
    </x:fill>
  </x:fills>
  <x:borders count="1">
    <x:border/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2" fillId="0" borderId="0" xfId="0" applyAlignment="1">
      <x:alignment wrapText="1"/>
    </x:xf>
    <x:xf numFmtId="0" fontId="3" fillId="2" borderId="0" xfId="0"/>
    <x:xf numFmtId="0" fontId="0" fillId="2" borderId="0" xfId="0"/>
    <x:xf numFmtId="0" fontId="4" fillId="0" borderId="0" xfId="0"/>
    <x:xf numFmtId="3" fontId="5" fillId="0" borderId="0" xfId="0"/>
    <x:xf numFmtId="0" fontId="2" fillId="0" borderId="0" xfId="0"/>
    <x:xf numFmtId="3" fontId="4" fillId="0" borderId="0" xfId="0"/>
    <x:xf numFmtId="9" fontId="5" fillId="0" borderId="0" xfId="0"/>
    <x:xf numFmtId="1" fontId="5" fillId="0" borderId="0" xfId="0"/>
    <x:xf numFmtId="2" fontId="5" fillId="0" borderId="0" xfId="0"/>
    <x:xf numFmtId="0" fontId="4" fillId="0" borderId="0" xfId="0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7" fillId="2" borderId="0" xfId="0" applyNumberFormat="1" applyFont="1" applyFill="1" applyBorder="1"/>
    <x:xf numFmtId="0" fontId="10" fillId="0" borderId="0" xfId="0" applyNumberFormat="1" applyFont="1" applyFill="1" applyBorder="1"/>
    <x:xf numFmtId="3" fontId="11" fillId="0" borderId="0" xfId="0" applyNumberFormat="1" applyFont="1" applyFill="1" applyBorder="1"/>
    <x:xf numFmtId="0" fontId="8" fillId="0" borderId="0" xfId="0" applyNumberFormat="1" applyFont="1" applyFill="1" applyBorder="1"/>
    <x:xf numFmtId="3" fontId="10" fillId="0" borderId="0" xfId="0" applyNumberFormat="1" applyFont="1" applyFill="1" applyBorder="1"/>
    <x:xf numFmtId="9" fontId="11" fillId="0" borderId="0" xfId="0" applyNumberFormat="1" applyFont="1" applyFill="1" applyBorder="1"/>
    <x:xf numFmtId="1" fontId="11" fillId="0" borderId="0" xfId="0" applyNumberFormat="1" applyFont="1" applyFill="1" applyBorder="1"/>
    <x:xf numFmtId="2" fontId="11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3" fillId="2" borderId="0" xfId="0" applyNumberFormat="1" applyFont="1" applyFill="1" applyBorder="1"/>
    <x:xf numFmtId="3" fontId="13" fillId="0" borderId="0" xfId="0" applyNumberFormat="1" applyFont="1" applyFill="1" applyBorder="1"/>
    <x:xf numFmtId="3" fontId="12" fillId="0" borderId="0" xfId="0" applyNumberFormat="1" applyFont="1" applyFill="1" applyBorder="1"/>
    <x:xf numFmtId="9" fontId="13" fillId="0" borderId="0" xfId="0" applyNumberFormat="1" applyFont="1" applyFill="1" applyBorder="1"/>
    <x:xf numFmtId="1" fontId="13" fillId="0" borderId="0" xfId="0" applyNumberFormat="1" applyFont="1" applyFill="1" applyBorder="1"/>
    <x:xf numFmtId="2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2" fillId="3" borderId="0" xfId="0" applyNumberFormat="1" applyFont="1" applyFill="1" applyBorder="1"/>
    <x:xf numFmtId="0" fontId="13" fillId="3" borderId="0" xfId="0" applyNumberFormat="1" applyFont="1" applyFill="1" applyBorder="1"/>
    <x:xf numFmtId="0" fontId="9" fillId="3" borderId="0" xfId="0" applyNumberFormat="1" applyFont="1" applyFill="1" applyBorder="1"/>
    <x:xf numFmtId="0" fontId="12" fillId="4" borderId="0" xfId="0" applyNumberFormat="1" applyFont="1" applyFill="1" applyBorder="1"/>
    <x:xf numFmtId="3" fontId="12" fillId="4" borderId="0" xfId="0" applyNumberFormat="1" applyFont="1" applyFill="1" applyBorder="1"/>
    <x:xf numFmtId="0" fontId="13" fillId="4" borderId="0" xfId="0" applyNumberFormat="1" applyFont="1" applyFill="1" applyBorder="1"/>
    <x:xf numFmtId="3" fontId="16" fillId="0" borderId="0" xfId="0" applyNumberFormat="1" applyFont="1" applyFill="1" applyBorder="1"/>
    <x:xf numFmtId="9" fontId="16" fillId="0" borderId="0" xfId="0" applyNumberFormat="1" applyFont="1" applyFill="1" applyBorder="1"/>
    <x:xf numFmtId="1" fontId="16" fillId="0" borderId="0" xfId="0" applyNumberFormat="1" applyFont="1" applyFill="1" applyBorder="1"/>
    <x:xf numFmtId="2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5" fillId="4" borderId="0" xfId="0" applyNumberFormat="1" applyFont="1" applyFill="1" applyBorder="1"/>
    <x:xf numFmtId="0" fontId="15" fillId="3" borderId="0" xfId="0" applyNumberFormat="1" applyFont="1" applyFill="1" applyBorder="1"/>
    <x:xf numFmtId="0" fontId="15" fillId="4" borderId="0" xfId="0" applyNumberFormat="1" applyFont="1" applyFill="1" applyBorder="1" applyAlignment="1">
      <x:alignment wrapText="1"/>
    </x:xf>
    <x:xf numFmtId="0" fontId="15" fillId="3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64d02fa2f54900" /><Relationship Type="http://schemas.openxmlformats.org/officeDocument/2006/relationships/theme" Target="/xl/theme/theme1.xml" Id="R42f159f34dc7481a" /><Relationship Type="http://schemas.openxmlformats.org/officeDocument/2006/relationships/sharedStrings" Target="/xl/sharedStrings.xml" Id="Rfb69ad0db7b44878" /><Relationship Type="http://schemas.openxmlformats.org/officeDocument/2006/relationships/worksheet" Target="/xl/worksheets/sheet1.xml" Id="R51571d1169db44de" /><Relationship Type="http://schemas.openxmlformats.org/officeDocument/2006/relationships/worksheet" Target="/xl/worksheets/sheet2.xml" Id="R290fc949b7f44c4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46" customWidth="1"/>
    <x:col min="2" max="2" width="14" customWidth="1"/>
    <x:col min="3" max="3" width="17" customWidth="1"/>
    <x:col min="4" max="4" width="66" customWidth="1"/>
  </x:cols>
  <x:sheetData>
    <x:row r="1">
      <x:c r="A1" s="36" t="str">
        <x:v>Goods on Country: GOC Entity Model Inputs</x:v>
      </x:c>
      <x:c r="B1" s="36"/>
      <x:c r="C1" s="36"/>
      <x:c r="D1" s="36"/>
    </x:row>
    <x:row r="2" ht="58" customHeight="1">
      <x:c r="A2" s="37" t="str">
        <x:v>Blue = editable input. Black = formula. Green = link to another sheet. All AUD ex-GST unless noted. Entity-level figures for Matt's GOC-only 3-statement model. Every figure carries a status and source. See Notes for provenance.</x:v>
      </x:c>
      <x:c r="B2" s="37"/>
      <x:c r="C2" s="37"/>
      <x:c r="D2" s="37"/>
    </x:row>
    <x:row r="3">
      <x:c r="A3" s="27"/>
      <x:c r="B3" s="27"/>
      <x:c r="C3" s="27"/>
      <x:c r="D3" s="27"/>
    </x:row>
    <x:row r="4">
      <x:c r="A4" s="41" t="str">
        <x:v>1. HISTORICAL ACTUALS: GOODS CARVE-OUT (base year, FY2026)</x:v>
      </x:c>
      <x:c r="B4" s="41" t="n"/>
      <x:c r="C4" s="41" t="n"/>
      <x:c r="D4" s="41" t="n"/>
    </x:row>
    <x:row r="5">
      <x:c r="A5" s="42" t="inlineStr">
        <x:is>
          <x:t xml:space="preserve">Line item</x:t>
        </x:is>
      </x:c>
      <x:c r="B5" s="42" t="inlineStr">
        <x:is>
          <x:t xml:space="preserve">Value</x:t>
        </x:is>
      </x:c>
      <x:c r="C5" s="42" t="inlineStr">
        <x:is>
          <x:t xml:space="preserve">Status</x:t>
        </x:is>
      </x:c>
      <x:c r="D5" s="42" t="inlineStr">
        <x:is>
          <x:t xml:space="preserve">Source / notes</x:t>
        </x:is>
      </x:c>
    </x:row>
    <x:row r="6">
      <x:c r="A6" s="27" t="inlineStr">
        <x:is>
          <x:t xml:space="preserve">Revenue (accountant-signed Goods-only carve-out)</x:t>
        </x:is>
      </x:c>
      <x:c r="B6" s="45" t="n">
        <x:v>713827</x:v>
      </x:c>
      <x:c r="C6" s="49" t="inlineStr">
        <x:is>
          <x:t xml:space="preserve">accountant-signed</x:t>
        </x:is>
      </x:c>
      <x:c r="D6" s="50" t="inlineStr">
        <x:is>
          <x:t xml:space="preserve">The ONLY externally-quotable revenue figure. Never the $403,901 'surplus' (entity P&amp;L is a net loss).</x:t>
        </x:is>
      </x:c>
    </x:row>
    <x:row r="7">
      <x:c r="A7" s="27" t="inlineStr">
        <x:is>
          <x:t xml:space="preserve">Cash received (ACCREC paid)</x:t>
        </x:is>
      </x:c>
      <x:c r="B7" s="45" t="n">
        <x:v>649711</x:v>
      </x:c>
      <x:c r="C7" s="49" t="inlineStr">
        <x:is>
          <x:t xml:space="preserve">verified</x:t>
        </x:is>
      </x:c>
      <x:c r="D7" s="50" t="inlineStr">
        <x:is>
          <x:t xml:space="preserve">ACT-infra Xero, ACT-GD, 2026-05-29.</x:t>
        </x:is>
      </x:c>
    </x:row>
    <x:row r="8">
      <x:c r="A8" s="27" t="inlineStr">
        <x:is>
          <x:t xml:space="preserve">Accounts receivable (still due)</x:t>
        </x:is>
      </x:c>
      <x:c r="B8" s="45" t="n">
        <x:v>143000</x:v>
      </x:c>
      <x:c r="C8" s="49" t="inlineStr">
        <x:is>
          <x:t xml:space="preserve">workpaper</x:t>
        </x:is>
      </x:c>
      <x:c r="D8" s="50" t="inlineStr">
        <x:is>
          <x:t xml:space="preserve"/>
        </x:is>
      </x:c>
    </x:row>
    <x:row r="9">
      <x:c r="A9" s="27" t="inlineStr">
        <x:is>
          <x:t xml:space="preserve">Goods expenses (single cash basis)</x:t>
        </x:is>
      </x:c>
      <x:c r="B9" s="45" t="n">
        <x:v>309126</x:v>
      </x:c>
      <x:c r="C9" s="49" t="inlineStr">
        <x:is>
          <x:t xml:space="preserve">verified</x:t>
        </x:is>
      </x:c>
      <x:c r="D9" s="50" t="inlineStr">
        <x:is>
          <x:t xml:space="preserve">ACT-GD bank spend less 1300-Washer reclass. AP genuinely ~$0 owed (matching gap, not debt).</x:t>
        </x:is>
      </x:c>
    </x:row>
    <x:row r="10">
      <x:c r="A10" s="42" t="inlineStr">
        <x:is>
          <x:t xml:space="preserve">Operating surplus before founder time</x:t>
        </x:is>
      </x:c>
      <x:c r="B10" s="43" t="n">
        <x:f>B7-B9</x:f>
        <x:v>340585</x:v>
      </x:c>
      <x:c r="C10" s="51" t="str">
        <x:v>derived</x:v>
      </x:c>
      <x:c r="D10" s="53" t="str">
        <x:v>Cash received less Goods expenses. Model does not rely on unpaid founder time.</x:v>
      </x:c>
    </x:row>
    <x:row r="11">
      <x:c r="A11" s="27" t="inlineStr">
        <x:is>
          <x:t xml:space="preserve">Grant-funded share of revenue</x:t>
        </x:is>
      </x:c>
      <x:c r="B11" s="46" t="n">
        <x:v>0.89</x:v>
      </x:c>
      <x:c r="C11" s="49" t="inlineStr">
        <x:is>
          <x:t xml:space="preserve">verified</x:t>
        </x:is>
      </x:c>
      <x:c r="D11" s="50" t="inlineStr">
        <x:is>
          <x:t xml:space="preserve">Grant-funded social enterprise building toward commercial sustainability.</x:t>
        </x:is>
      </x:c>
    </x:row>
    <x:row r="12">
      <x:c r="A12" s="27"/>
      <x:c r="B12" s="27"/>
      <x:c r="C12" s="49"/>
      <x:c r="D12" s="50"/>
    </x:row>
    <x:row r="13">
      <x:c r="A13" s="41" t="inlineStr">
        <x:is>
          <x:t xml:space="preserve">2. OPENING BALANCE SHEET POSITION (start of forecast)</x:t>
        </x:is>
      </x:c>
      <x:c r="B13" s="41" t="n"/>
      <x:c r="C13" s="52" t="n"/>
      <x:c r="D13" s="54" t="n"/>
    </x:row>
    <x:row r="14">
      <x:c r="A14" s="42" t="inlineStr">
        <x:is>
          <x:t xml:space="preserve">Line item</x:t>
        </x:is>
      </x:c>
      <x:c r="B14" s="42" t="inlineStr">
        <x:is>
          <x:t xml:space="preserve">Value</x:t>
        </x:is>
      </x:c>
      <x:c r="C14" s="51" t="inlineStr">
        <x:is>
          <x:t xml:space="preserve">Status</x:t>
        </x:is>
      </x:c>
      <x:c r="D14" s="53" t="inlineStr">
        <x:is>
          <x:t xml:space="preserve">Source / notes</x:t>
        </x:is>
      </x:c>
    </x:row>
    <x:row r="15">
      <x:c r="A15" s="27" t="inlineStr">
        <x:is>
          <x:t xml:space="preserve">Opening cash</x:t>
        </x:is>
      </x:c>
      <x:c r="B15" s="45" t="n">
        <x:v>50000</x:v>
      </x:c>
      <x:c r="C15" s="49" t="inlineStr">
        <x:is>
          <x:t xml:space="preserve">assumption</x:t>
        </x:is>
      </x:c>
      <x:c r="D15" s="50" t="inlineStr">
        <x:is>
          <x:t xml:space="preserve">Most important single input (base placeholder). Confirm with Ben.</x:t>
        </x:is>
      </x:c>
    </x:row>
    <x:row r="16">
      <x:c r="A16" s="27" t="inlineStr">
        <x:is>
          <x:t xml:space="preserve">Plant &amp; equipment (sunk, evidenced)</x:t>
        </x:is>
      </x:c>
      <x:c r="B16" s="45" t="n">
        <x:v>75000</x:v>
      </x:c>
      <x:c r="C16" s="49" t="inlineStr">
        <x:is>
          <x:t xml:space="preserve">evidenced</x:t>
        </x:is>
      </x:c>
      <x:c r="D16" s="50" t="inlineStr">
        <x:is>
          <x:t xml:space="preserve">MVF hardware, mostly used deals (Nic). Ownership handover targeted end-Aug 2026.</x:t>
        </x:is>
      </x:c>
    </x:row>
    <x:row r="17">
      <x:c r="A17" s="27" t="inlineStr">
        <x:is>
          <x:t xml:space="preserve">Borrowings (today)</x:t>
        </x:is>
      </x:c>
      <x:c r="B17" s="45" t="n">
        <x:v>0</x:v>
      </x:c>
      <x:c r="C17" s="49" t="inlineStr">
        <x:is>
          <x:t xml:space="preserve">verified</x:t>
        </x:is>
      </x:c>
      <x:c r="D17" s="50" t="inlineStr">
        <x:is>
          <x:t xml:space="preserve">No debt; AP ~$0 owed.</x:t>
        </x:is>
      </x:c>
    </x:row>
    <x:row r="18">
      <x:c r="A18" s="42" t="inlineStr">
        <x:is>
          <x:t xml:space="preserve">Opening contributed capital</x:t>
        </x:is>
      </x:c>
      <x:c r="B18" s="43" t="n">
        <x:f>B15+B16</x:f>
        <x:v>125000</x:v>
      </x:c>
      <x:c r="C18" s="51" t="str">
        <x:v>derived</x:v>
      </x:c>
      <x:c r="D18" s="53" t="str">
        <x:v>Opening cash plus sunk plant, so the opening balance sheet balances.</x:v>
      </x:c>
    </x:row>
    <x:row r="19">
      <x:c r="A19" s="27"/>
      <x:c r="B19" s="27"/>
      <x:c r="C19" s="49"/>
      <x:c r="D19" s="50"/>
    </x:row>
    <x:row r="20">
      <x:c r="A20" s="41" t="str">
        <x:v>3. GOC OPERATING COST STRUCTURE: per year (Pot 1, production)</x:v>
      </x:c>
      <x:c r="B20" s="41" t="n"/>
      <x:c r="C20" s="52" t="n"/>
      <x:c r="D20" s="54" t="n"/>
    </x:row>
    <x:row r="21">
      <x:c r="A21" s="42" t="inlineStr">
        <x:is>
          <x:t xml:space="preserve">Line item</x:t>
        </x:is>
      </x:c>
      <x:c r="B21" s="42" t="inlineStr">
        <x:is>
          <x:t xml:space="preserve">Value</x:t>
        </x:is>
      </x:c>
      <x:c r="C21" s="51" t="inlineStr">
        <x:is>
          <x:t xml:space="preserve">Status</x:t>
        </x:is>
      </x:c>
      <x:c r="D21" s="53" t="inlineStr">
        <x:is>
          <x:t xml:space="preserve">Source / notes</x:t>
        </x:is>
      </x:c>
    </x:row>
    <x:row r="22">
      <x:c r="A22" s="27" t="inlineStr">
        <x:is>
          <x:t xml:space="preserve">Founder production time (30d x $560)</x:t>
        </x:is>
      </x:c>
      <x:c r="B22" s="45" t="n">
        <x:v>16800</x:v>
      </x:c>
      <x:c r="C22" s="49" t="inlineStr">
        <x:is>
          <x:t xml:space="preserve">locked</x:t>
        </x:is>
      </x:c>
      <x:c r="D22" s="50" t="inlineStr">
        <x:is>
          <x:t xml:space="preserve">Locked 2026-05-29. Only production days touch unit cost.</x:t>
        </x:is>
      </x:c>
    </x:row>
    <x:row r="23">
      <x:c r="A23" s="27" t="inlineStr">
        <x:is>
          <x:t xml:space="preserve">Kirmos facility (50% to beds)</x:t>
        </x:is>
      </x:c>
      <x:c r="B23" s="45" t="n">
        <x:v>27000</x:v>
      </x:c>
      <x:c r="C23" s="49" t="inlineStr">
        <x:is>
          <x:t xml:space="preserve">verified</x:t>
        </x:is>
      </x:c>
      <x:c r="D23" s="50" t="inlineStr">
        <x:is>
          <x:t xml:space="preserve">GoC Q&amp;A Q1 confirms.</x:t>
        </x:is>
      </x:c>
    </x:row>
    <x:row r="24">
      <x:c r="A24" s="27" t="inlineStr">
        <x:is>
          <x:t xml:space="preserve">Admin</x:t>
        </x:is>
      </x:c>
      <x:c r="B24" s="45" t="n">
        <x:v>14700</x:v>
      </x:c>
      <x:c r="C24" s="49" t="inlineStr">
        <x:is>
          <x:t xml:space="preserve">verified</x:t>
        </x:is>
      </x:c>
      <x:c r="D24" s="50" t="inlineStr">
        <x:is>
          <x:t xml:space="preserve"/>
        </x:is>
      </x:c>
    </x:row>
    <x:row r="25">
      <x:c r="A25" s="27" t="inlineStr">
        <x:is>
          <x:t xml:space="preserve">Field travel</x:t>
        </x:is>
      </x:c>
      <x:c r="B25" s="45" t="n">
        <x:v>51000</x:v>
      </x:c>
      <x:c r="C25" s="49" t="inlineStr">
        <x:is>
          <x:t xml:space="preserve">verified</x:t>
        </x:is>
      </x:c>
      <x:c r="D25" s="50" t="inlineStr">
        <x:is>
          <x:t xml:space="preserve"/>
        </x:is>
      </x:c>
    </x:row>
    <x:row r="26">
      <x:c r="A26" s="42" t="inlineStr">
        <x:is>
          <x:t xml:space="preserve">TOTAL fixed operating block / yr</x:t>
        </x:is>
      </x:c>
      <x:c r="B26" s="43" t="n">
        <x:f>SUM(B22:B25)</x:f>
        <x:v>109500</x:v>
      </x:c>
      <x:c r="C26" s="51" t="str">
        <x:v>derived</x:v>
      </x:c>
      <x:c r="D26" s="53" t="str">
        <x:v>$109,500, confirmed line by line in GoC Q&amp;A Q1.</x:v>
      </x:c>
    </x:row>
    <x:row r="27">
      <x:c r="A27" s="27" t="inlineStr">
        <x:is>
          <x:t xml:space="preserve">Equipment maintenance (% of $167K equip, per facility)</x:t>
        </x:is>
      </x:c>
      <x:c r="B27" s="46" t="n">
        <x:v>0.05</x:v>
      </x:c>
      <x:c r="C27" s="49" t="inlineStr">
        <x:is>
          <x:t xml:space="preserve">placeholder</x:t>
        </x:is>
      </x:c>
      <x:c r="D27" s="50" t="inlineStr">
        <x:is>
          <x:t xml:space="preserve">3-5% pending vendor quotes. $167K = shredder+press+CNC+bench midpoints.</x:t>
        </x:is>
      </x:c>
    </x:row>
    <x:row r="28">
      <x:c r="A28" s="27"/>
      <x:c r="B28" s="27"/>
      <x:c r="C28" s="49"/>
      <x:c r="D28" s="50"/>
    </x:row>
    <x:row r="29">
      <x:c r="A29" s="41" t="str">
        <x:v>4. COMMUNITY FACILITY &amp; PROGRAM: per site per year (Pot 2, GRANT-FUNDED, kept separate)</x:v>
      </x:c>
      <x:c r="B29" s="41" t="n"/>
      <x:c r="C29" s="52" t="n"/>
      <x:c r="D29" s="54" t="n"/>
    </x:row>
    <x:row r="30">
      <x:c r="A30" s="42" t="inlineStr">
        <x:is>
          <x:t xml:space="preserve">Line item</x:t>
        </x:is>
      </x:c>
      <x:c r="B30" s="42" t="inlineStr">
        <x:is>
          <x:t xml:space="preserve">Value</x:t>
        </x:is>
      </x:c>
      <x:c r="C30" s="51" t="inlineStr">
        <x:is>
          <x:t xml:space="preserve">Status</x:t>
        </x:is>
      </x:c>
      <x:c r="D30" s="53" t="inlineStr">
        <x:is>
          <x:t xml:space="preserve">Source / notes</x:t>
        </x:is>
      </x:c>
    </x:row>
    <x:row r="31">
      <x:c r="A31" s="27" t="inlineStr">
        <x:is>
          <x:t xml:space="preserve">Bare facility operating (rent+insurance+admin+upkeep)</x:t>
        </x:is>
      </x:c>
      <x:c r="B31" s="45" t="n">
        <x:v>151666</x:v>
      </x:c>
      <x:c r="C31" s="49" t="inlineStr">
        <x:is>
          <x:t xml:space="preserve">derived</x:t>
        </x:is>
      </x:c>
      <x:c r="D31" s="50" t="inlineStr">
        <x:is>
          <x:t xml:space="preserve">From the Oonchiumpa DEWR application budget lines.</x:t>
        </x:is>
      </x:c>
    </x:row>
    <x:row r="32">
      <x:c r="A32" s="27" t="inlineStr">
        <x:is>
          <x:t xml:space="preserve">Fully staffed facility (adds manager + trainer/WHS)</x:t>
        </x:is>
      </x:c>
      <x:c r="B32" s="45" t="n">
        <x:v>341666</x:v>
      </x:c>
      <x:c r="C32" s="49" t="inlineStr">
        <x:is>
          <x:t xml:space="preserve">derived</x:t>
        </x:is>
      </x:c>
      <x:c r="D32" s="50" t="inlineStr">
        <x:is>
          <x:t xml:space="preserve">Bare + manager $150K + trainer/WHS ~$40K.</x:t>
        </x:is>
      </x:c>
    </x:row>
    <x:row r="33">
      <x:c r="A33" s="27" t="inlineStr">
        <x:is>
          <x:t xml:space="preserve">Employment program (brokerage/wages)</x:t>
        </x:is>
      </x:c>
      <x:c r="B33" s="45" t="n">
        <x:v>300000</x:v>
      </x:c>
      <x:c r="C33" s="49" t="inlineStr">
        <x:is>
          <x:t xml:space="preserve">as-written</x:t>
        </x:is>
      </x:c>
      <x:c r="D33" s="50" t="inlineStr">
        <x:is>
          <x:t xml:space="preserve">DEWR application. Grant/government money, NEVER carried by bed sales.</x:t>
        </x:is>
      </x:c>
    </x:row>
    <x:row r="34">
      <x:c r="A34" s="26" t="str">
        <x:v>NOTE: the two pots</x:v>
      </x:c>
      <x:c r="B34" s="27"/>
      <x:c r="C34" s="49"/>
      <x:c r="D34" s="50" t="inlineStr">
        <x:is>
          <x:t xml:space="preserve">Production (Pot 1) pays for itself at volume. The wraparound (Pot 2) is grant-funded by design. Keep them in separate cost centres that never cross-subsidise on paper.</x:t>
        </x:is>
      </x:c>
    </x:row>
    <x:row r="35">
      <x:c r="A35" s="27"/>
      <x:c r="B35" s="27"/>
      <x:c r="C35" s="49"/>
      <x:c r="D35" s="50"/>
    </x:row>
    <x:row r="36">
      <x:c r="A36" s="41" t="inlineStr">
        <x:is>
          <x:t xml:space="preserve">5. CAPITAL STACK &amp; FINANCING</x:t>
        </x:is>
      </x:c>
      <x:c r="B36" s="41" t="n"/>
      <x:c r="C36" s="52" t="n"/>
      <x:c r="D36" s="54" t="n"/>
    </x:row>
    <x:row r="37">
      <x:c r="A37" s="42" t="inlineStr">
        <x:is>
          <x:t xml:space="preserve">Line item</x:t>
        </x:is>
      </x:c>
      <x:c r="B37" s="42" t="inlineStr">
        <x:is>
          <x:t xml:space="preserve">Value</x:t>
        </x:is>
      </x:c>
      <x:c r="C37" s="51" t="inlineStr">
        <x:is>
          <x:t xml:space="preserve">Status</x:t>
        </x:is>
      </x:c>
      <x:c r="D37" s="53" t="inlineStr">
        <x:is>
          <x:t xml:space="preserve">Source / notes</x:t>
        </x:is>
      </x:c>
    </x:row>
    <x:row r="38">
      <x:c r="A38" s="27" t="inlineStr">
        <x:is>
          <x:t xml:space="preserve">SEFA (debt)</x:t>
        </x:is>
      </x:c>
      <x:c r="B38" s="45" t="n">
        <x:v>300000</x:v>
      </x:c>
      <x:c r="C38" s="49" t="inlineStr">
        <x:is>
          <x:t xml:space="preserve">placeholder</x:t>
        </x:is>
      </x:c>
      <x:c r="D38" s="50" t="inlineStr">
        <x:is>
          <x:t xml:space="preserve">First lender target; ownership-gate-free. Draw Yr1.</x:t>
        </x:is>
      </x:c>
    </x:row>
    <x:row r="39">
      <x:c r="A39" s="27" t="inlineStr">
        <x:is>
          <x:t xml:space="preserve">QBE (debt, repayable preferred)</x:t>
        </x:is>
      </x:c>
      <x:c r="B39" s="45" t="n">
        <x:v>400000</x:v>
      </x:c>
      <x:c r="C39" s="49" t="inlineStr">
        <x:is>
          <x:t xml:space="preserve">placeholder</x:t>
        </x:is>
      </x:c>
      <x:c r="D39" s="50" t="inlineStr">
        <x:is>
          <x:t xml:space="preserve">At-least-matched by signed external capital. Draw Yr2. Match ratio + eligible/match split TBC.</x:t>
        </x:is>
      </x:c>
    </x:row>
    <x:row r="40">
      <x:c r="A40" s="27" t="inlineStr">
        <x:is>
          <x:t xml:space="preserve">Anchor philanthropy (equity / grant to capital)</x:t>
        </x:is>
      </x:c>
      <x:c r="B40" s="45" t="n">
        <x:v>500000</x:v>
      </x:c>
      <x:c r="C40" s="49" t="inlineStr">
        <x:is>
          <x:t xml:space="preserve">placeholder</x:t>
        </x:is>
      </x:c>
      <x:c r="D40" s="50" t="inlineStr">
        <x:is>
          <x:t xml:space="preserve">Draw Yr1.</x:t>
        </x:is>
      </x:c>
    </x:row>
    <x:row r="41">
      <x:c r="A41" s="42" t="inlineStr">
        <x:is>
          <x:t xml:space="preserve">TOTAL capital stack</x:t>
        </x:is>
      </x:c>
      <x:c r="B41" s="43" t="n">
        <x:f>SUM(B38:B40)</x:f>
        <x:v>1200000</x:v>
      </x:c>
      <x:c r="C41" s="51" t="str">
        <x:v>derived</x:v>
      </x:c>
      <x:c r="D41" s="53" t="str">
        <x:v>Sum of the placeholder capital stack above.</x:v>
      </x:c>
    </x:row>
    <x:row r="42">
      <x:c r="A42" s="27" t="inlineStr">
        <x:is>
          <x:t xml:space="preserve">Interest rate on debt</x:t>
        </x:is>
      </x:c>
      <x:c r="B42" s="46" t="n">
        <x:v>0.06</x:v>
      </x:c>
      <x:c r="C42" s="49" t="inlineStr">
        <x:is>
          <x:t xml:space="preserve">assumption</x:t>
        </x:is>
      </x:c>
      <x:c r="D42" s="50" t="inlineStr">
        <x:is>
          <x:t xml:space="preserve">Interest-only assumed in the forecast window.</x:t>
        </x:is>
      </x:c>
    </x:row>
    <x:row r="43">
      <x:c r="A43" s="27" t="inlineStr">
        <x:is>
          <x:t xml:space="preserve">Signed match-eligible capital today</x:t>
        </x:is>
      </x:c>
      <x:c r="B43" s="45" t="n">
        <x:v>0</x:v>
      </x:c>
      <x:c r="C43" s="49" t="inlineStr">
        <x:is>
          <x:t xml:space="preserve">verified</x:t>
        </x:is>
      </x:c>
      <x:c r="D43" s="50" t="inlineStr">
        <x:is>
          <x:t xml:space="preserve">0 open Goods-eligible grants; 51% First Nations ownership = biggest unlock.</x:t>
        </x:is>
      </x:c>
    </x:row>
    <x:row r="44">
      <x:c r="A44" s="27"/>
      <x:c r="B44" s="27"/>
      <x:c r="C44" s="49"/>
      <x:c r="D44" s="50"/>
    </x:row>
    <x:row r="45">
      <x:c r="A45" s="41" t="inlineStr">
        <x:is>
          <x:t xml:space="preserve">6. WORKING CAPITAL &amp; TAX (for the 3-statement build)</x:t>
        </x:is>
      </x:c>
      <x:c r="B45" s="41" t="n"/>
      <x:c r="C45" s="52" t="n"/>
      <x:c r="D45" s="54" t="n"/>
    </x:row>
    <x:row r="46">
      <x:c r="A46" s="42" t="inlineStr">
        <x:is>
          <x:t xml:space="preserve">Line item</x:t>
        </x:is>
      </x:c>
      <x:c r="B46" s="42" t="inlineStr">
        <x:is>
          <x:t xml:space="preserve">Value</x:t>
        </x:is>
      </x:c>
      <x:c r="C46" s="51" t="inlineStr">
        <x:is>
          <x:t xml:space="preserve">Status</x:t>
        </x:is>
      </x:c>
      <x:c r="D46" s="53" t="inlineStr">
        <x:is>
          <x:t xml:space="preserve">Source / notes</x:t>
        </x:is>
      </x:c>
    </x:row>
    <x:row r="47">
      <x:c r="A47" s="27" t="inlineStr">
        <x:is>
          <x:t xml:space="preserve">Debtor days</x:t>
        </x:is>
      </x:c>
      <x:c r="B47" s="47" t="n">
        <x:v>30</x:v>
      </x:c>
      <x:c r="C47" s="49" t="inlineStr">
        <x:is>
          <x:t xml:space="preserve">assumption</x:t>
        </x:is>
      </x:c>
      <x:c r="D47" s="50" t="inlineStr">
        <x:is>
          <x:t xml:space="preserve">On product revenue.</x:t>
        </x:is>
      </x:c>
    </x:row>
    <x:row r="48">
      <x:c r="A48" s="27" t="inlineStr">
        <x:is>
          <x:t xml:space="preserve">Creditor days</x:t>
        </x:is>
      </x:c>
      <x:c r="B48" s="47" t="n">
        <x:v>30</x:v>
      </x:c>
      <x:c r="C48" s="49" t="inlineStr">
        <x:is>
          <x:t xml:space="preserve">assumption</x:t>
        </x:is>
      </x:c>
      <x:c r="D48" s="50" t="inlineStr">
        <x:is>
          <x:t xml:space="preserve">On cash operating costs.</x:t>
        </x:is>
      </x:c>
    </x:row>
    <x:row r="49">
      <x:c r="A49" s="27" t="inlineStr">
        <x:is>
          <x:t xml:space="preserve">Inventory days</x:t>
        </x:is>
      </x:c>
      <x:c r="B49" s="47" t="n">
        <x:v>45</x:v>
      </x:c>
      <x:c r="C49" s="49" t="inlineStr">
        <x:is>
          <x:t xml:space="preserve">assumption</x:t>
        </x:is>
      </x:c>
      <x:c r="D49" s="50" t="inlineStr">
        <x:is>
          <x:t xml:space="preserve">On bed COGS.</x:t>
        </x:is>
      </x:c>
    </x:row>
    <x:row r="50">
      <x:c r="A50" s="27" t="inlineStr">
        <x:is>
          <x:t xml:space="preserve">Company tax rate</x:t>
        </x:is>
      </x:c>
      <x:c r="B50" s="46" t="n">
        <x:v>0.25</x:v>
      </x:c>
      <x:c r="C50" s="49" t="inlineStr">
        <x:is>
          <x:t xml:space="preserve">assumption</x:t>
        </x:is>
      </x:c>
      <x:c r="D50" s="50" t="inlineStr">
        <x:is>
          <x:t xml:space="preserve">Pty Ltd base rate. Confirm charity/DGR treatment with accountant. Model loss carry-forward.</x:t>
        </x:is>
      </x:c>
    </x:row>
    <x:row r="51">
      <x:c r="A51" s="27" t="inlineStr">
        <x:is>
          <x:t xml:space="preserve">Plant useful life (depreciation, years)</x:t>
        </x:is>
      </x:c>
      <x:c r="B51" s="47" t="n">
        <x:v>10</x:v>
      </x:c>
      <x:c r="C51" s="49" t="inlineStr">
        <x:is>
          <x:t xml:space="preserve">assumption</x:t>
        </x:is>
      </x:c>
      <x:c r="D51" s="50" t="inlineStr">
        <x:is>
          <x:t xml:space="preserve">Straight-line.</x:t>
        </x:is>
      </x:c>
    </x:row>
    <x:row r="52">
      <x:c r="A52" s="27"/>
      <x:c r="B52" s="27"/>
      <x:c r="C52" s="49"/>
      <x:c r="D52" s="50"/>
    </x:row>
    <x:row r="53">
      <x:c r="A53" s="41" t="str">
        <x:v>7. BED ECONOMICS: the production plug (from the bed unit-costing model)</x:v>
      </x:c>
      <x:c r="B53" s="41" t="n"/>
      <x:c r="C53" s="52" t="n"/>
      <x:c r="D53" s="54" t="n"/>
    </x:row>
    <x:row r="54">
      <x:c r="A54" s="42" t="inlineStr">
        <x:is>
          <x:t xml:space="preserve">Line item</x:t>
        </x:is>
      </x:c>
      <x:c r="B54" s="42" t="inlineStr">
        <x:is>
          <x:t xml:space="preserve">Value</x:t>
        </x:is>
      </x:c>
      <x:c r="C54" s="51" t="inlineStr">
        <x:is>
          <x:t xml:space="preserve">Status</x:t>
        </x:is>
      </x:c>
      <x:c r="D54" s="53" t="inlineStr">
        <x:is>
          <x:t xml:space="preserve">Source / notes</x:t>
        </x:is>
      </x:c>
    </x:row>
    <x:row r="55">
      <x:c r="A55" s="27" t="inlineStr">
        <x:is>
          <x:t xml:space="preserve">Selling price per bed</x:t>
        </x:is>
      </x:c>
      <x:c r="B55" s="45" t="n">
        <x:v>750</x:v>
      </x:c>
      <x:c r="C55" s="49" t="inlineStr">
        <x:is>
          <x:t xml:space="preserve">verified</x:t>
        </x:is>
      </x:c>
      <x:c r="D55" s="50" t="inlineStr">
        <x:is>
          <x:t xml:space="preserve">Shop stretch-bed-single, held flat.</x:t>
        </x:is>
      </x:c>
    </x:row>
    <x:row r="56">
      <x:c r="A56" s="27" t="str">
        <x:v>Marginal cost per bed: Buy-Kit</x:v>
      </x:c>
      <x:c r="B56" s="48" t="n">
        <x:v>684.79</x:v>
      </x:c>
      <x:c r="C56" s="49" t="inlineStr">
        <x:is>
          <x:t xml:space="preserve">modelled</x:t>
        </x:is>
      </x:c>
      <x:c r="D56" s="50" t="inlineStr">
        <x:is>
          <x:t xml:space="preserve">Today's bought-in path.</x:t>
        </x:is>
      </x:c>
    </x:row>
    <x:row r="57">
      <x:c r="A57" s="27" t="str">
        <x:v>Marginal cost per bed: Factory</x:v>
      </x:c>
      <x:c r="B57" s="48" t="n">
        <x:v>425.74</x:v>
      </x:c>
      <x:c r="C57" s="49" t="inlineStr">
        <x:is>
          <x:t xml:space="preserve">modelled (proven)</x:t>
        </x:is>
      </x:c>
      <x:c r="D57" s="50" t="inlineStr">
        <x:is>
          <x:t xml:space="preserve">PROCESS PROVEN: 40 Maningrida beds made in-house at the farm. Per-bed cost modelled pending measured actuals.</x:t>
        </x:is>
      </x:c>
    </x:row>
    <x:row r="58">
      <x:c r="A58" s="27" t="str">
        <x:v>Marginal cost per bed: Community</x:v>
      </x:c>
      <x:c r="B58" s="48" t="n">
        <x:v>420.74</x:v>
      </x:c>
      <x:c r="C58" s="49" t="inlineStr">
        <x:is>
          <x:t xml:space="preserve">modelled (future)</x:t>
        </x:is>
      </x:c>
      <x:c r="D58" s="50" t="str">
        <x:v>On Country community path not yet run.</x:v>
      </x:c>
    </x:row>
    <x:row r="59">
      <x:c r="A59" s="27" t="str">
        <x:v>Contribution per bed: Factory / Community</x:v>
      </x:c>
      <x:c r="B59" s="48" t="n">
        <x:v>329.26</x:v>
      </x:c>
      <x:c r="C59" s="49" t="inlineStr">
        <x:is>
          <x:t xml:space="preserve">derived</x:t>
        </x:is>
      </x:c>
      <x:c r="D59" s="50" t="inlineStr">
        <x:is>
          <x:t xml:space="preserve">$750 − Community marginal (Factory = $324.26). In-sourcing legs is the whole prize.</x:t>
        </x:is>
      </x:c>
    </x:row>
    <x:row r="60">
      <x:c r="A60" s="27" t="str">
        <x:v>Break-even: Factory / Community (beds/yr)</x:v>
      </x:c>
      <x:c r="B60" s="47" t="n">
        <x:v>338</x:v>
      </x:c>
      <x:c r="C60" s="49" t="inlineStr">
        <x:is>
          <x:t xml:space="preserve">derived</x:t>
        </x:is>
      </x:c>
      <x:c r="D60" s="50" t="inlineStr">
        <x:is>
          <x:t xml:space="preserve">Fixed block ÷ contribution. Community ~333.</x:t>
        </x:is>
      </x:c>
    </x:row>
    <x:row r="61">
      <x:c r="A61" s="27"/>
      <x:c r="B61" s="27"/>
      <x:c r="C61" s="27"/>
      <x:c r="D61" s="27"/>
    </x:row>
    <x:row r="62">
      <x:c r="A62" s="41" t="inlineStr">
        <x:is>
          <x:t xml:space="preserve">KEY NOTES (carry into the model's cover)</x:t>
        </x:is>
      </x:c>
      <x:c r="B62" s="41" t="n"/>
      <x:c r="C62" s="41" t="n"/>
      <x:c r="D62" s="41" t="n"/>
    </x:row>
    <x:row r="63" ht="28" customHeight="1">
      <x:c r="A63" s="28" t="inlineStr">
        <x:is>
          <x:t xml:space="preserve">• Two pots: production (Pot 1) self-funds at volume; the community wraparound (Pot 2) is grant-funded by design, never from bed sales.</x:t>
        </x:is>
      </x:c>
      <x:c r="B63" s="27"/>
      <x:c r="C63" s="27"/>
      <x:c r="D63" s="27"/>
    </x:row>
    <x:row r="64" ht="28" customHeight="1">
      <x:c r="A64" s="28" t="str">
        <x:v>• Factory path is PROVEN: 40 Maningrida Stretch beds pressed + CNC'd + assembled in-house at the farm. Open = the measured per-bed cost/rate at volume, and the separate On Country community path.</x:v>
      </x:c>
      <x:c r="B64" s="27"/>
      <x:c r="C64" s="27"/>
      <x:c r="D64" s="27"/>
    </x:row>
    <x:row r="65" ht="28" customHeight="1">
      <x:c r="A65" s="28" t="inlineStr">
        <x:is>
          <x:t xml:space="preserve">• These are Xero-mirror workpaper figures, NOT accountant-reviewed statutory accounts. ~89% grant-funded. Capex not firm-quoted.</x:t>
        </x:is>
      </x:c>
      <x:c r="B65" s="27"/>
      <x:c r="C65" s="27"/>
      <x:c r="D65" s="27"/>
    </x:row>
    <x:row r="66" ht="28" customHeight="1">
      <x:c r="A66" s="28" t="inlineStr">
        <x:is>
          <x:t xml:space="preserve">• Base year revenue to use = the accountant-signed carve-out $713,827 only.</x:t>
        </x:is>
      </x:c>
      <x:c r="B66" s="27"/>
      <x:c r="C66" s="27"/>
      <x:c r="D66" s="27"/>
    </x:row>
  </x:sheetData>
  <x:mergeCells>
    <x:mergeCell ref="A64:D64"/>
    <x:mergeCell ref="A65:D65"/>
    <x:mergeCell ref="A2:D2"/>
    <x:mergeCell ref="A63:D63"/>
    <x:mergeCell ref="A66:D6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10" customWidth="1"/>
  </x:cols>
  <x:sheetData>
    <x:row r="1">
      <x:c r="A1" s="55" t="str">
        <x:v>Provenance, sources &amp; status: GOC Entity Model Inputs (2026-07-23)</x:v>
      </x:c>
    </x:row>
    <x:row r="2">
      <x:c r="A2" s="15" t="inlineStr">
        <x:is>
          <x:t xml:space="preserve"/>
        </x:is>
      </x:c>
    </x:row>
    <x:row r="3">
      <x:c r="A3" s="56" t="inlineStr">
        <x:is>
          <x:t xml:space="preserve">PURPOSE</x:t>
        </x:is>
      </x:c>
    </x:row>
    <x:row r="4">
      <x:c r="A4" s="50" t="inlineStr">
        <x:is>
          <x:t xml:space="preserve">The entity-level figures needed to wrap the bed unit-costing model into a GOC-only 3-statement model. Mirrors the format of 'GOC Bed Unit-Costing Model v2.xlsx'. Full traceable figure set (117 rows) = goc-data-and-figures-pack.csv in the same folder.</x:t>
        </x:is>
      </x:c>
    </x:row>
    <x:row r="5">
      <x:c r="A5" s="50" t="inlineStr">
        <x:is>
          <x:t xml:space="preserve"/>
        </x:is>
      </x:c>
    </x:row>
    <x:row r="6">
      <x:c r="A6" s="37" t="inlineStr">
        <x:is>
          <x:t xml:space="preserve">STATUS VOCABULARY</x:t>
        </x:is>
      </x:c>
    </x:row>
    <x:row r="7">
      <x:c r="A7" s="50" t="inlineStr">
        <x:is>
          <x:t xml:space="preserve">accountant-signed = endorsed by the accountant.  verified = traced to invoice / register / Xero pull / ASIC.  evidenced = Xero bill/bank-line level.  derived = arithmetic here from cited inputs.  workpaper = unaudited Xero-mirror.  modelled = calculated from verified inputs (Factory process proven, per-bed cost not yet measured at volume).  assumption / placeholder = no second source or an explicit placeholder pending a decision.</x:t>
        </x:is>
      </x:c>
    </x:row>
    <x:row r="8">
      <x:c r="A8" s="50" t="inlineStr">
        <x:is>
          <x:t xml:space="preserve"/>
        </x:is>
      </x:c>
    </x:row>
    <x:row r="9">
      <x:c r="A9" s="37" t="inlineStr">
        <x:is>
          <x:t xml:space="preserve">SOURCES</x:t>
        </x:is>
      </x:c>
    </x:row>
    <x:row r="10">
      <x:c r="A10" s="50" t="inlineStr">
        <x:is>
          <x:t xml:space="preserve">• Block 1 (historical): matt-document-bundle/04-verified-financials.md (Xero ACT-GD, 2026-05-29) + current canon revenue carve-out $713,827.</x:t>
        </x:is>
      </x:c>
    </x:row>
    <x:row r="11">
      <x:c r="A11" s="50" t="inlineStr">
        <x:is>
          <x:t xml:space="preserve">• Block 2 (opening position): 2026-07-22-minimal-viable-facility-model.md (sunk ~$75K evidenced).</x:t>
        </x:is>
      </x:c>
    </x:row>
    <x:row r="12">
      <x:c r="A12" s="50" t="inlineStr">
        <x:is>
          <x:t xml:space="preserve">• Block 3 (fixed block): 03-cost-model-and-build-paths.md; GoC Q&amp;A Q1 confirms the $109,500 breakdown.</x:t>
        </x:is>
      </x:c>
    </x:row>
    <x:row r="13">
      <x:c r="A13" s="50" t="inlineStr">
        <x:is>
          <x:t xml:space="preserve">• Block 4 (Pot 2): 2026-07-22-community-facility-operating-model.md (Oonchiumpa DEWR application budget lines).</x:t>
        </x:is>
      </x:c>
    </x:row>
    <x:row r="14">
      <x:c r="A14" s="50" t="inlineStr">
        <x:is>
          <x:t xml:space="preserve">• Block 5 (capital stack): 04-verified-financials.md; QBE Stage 2 terms. PLACEHOLDER split.</x:t>
        </x:is>
      </x:c>
    </x:row>
    <x:row r="15">
      <x:c r="A15" s="50" t="inlineStr">
        <x:is>
          <x:t xml:space="preserve">• Block 6 (working capital/tax): modelling assumptions, flagged.</x:t>
        </x:is>
      </x:c>
    </x:row>
    <x:row r="16">
      <x:c r="A16" s="50" t="inlineStr">
        <x:is>
          <x:t xml:space="preserve">• Block 7 (bed economics): 03-cost-model-and-build-paths.md (v6). Reconciles exactly to Matt's Inputs block 1.</x:t>
        </x:is>
      </x:c>
    </x:row>
    <x:row r="17">
      <x:c r="A17" s="50" t="inlineStr">
        <x:is>
          <x:t xml:space="preserve"/>
        </x:is>
      </x:c>
    </x:row>
    <x:row r="18">
      <x:c r="A18" s="37" t="inlineStr">
        <x:is>
          <x:t xml:space="preserve">DECISIONS FOR BEN (the six that firm up the placeholders)</x:t>
        </x:is>
      </x:c>
    </x:row>
    <x:row r="19">
      <x:c r="A19" s="50" t="str">
        <x:v>• 1. HDPE per-bed mass &amp; rate: confirm 20kg @ $2.75 as the model figure, reconcile the '20kg diverted' claim.</x:v>
      </x:c>
    </x:row>
    <x:row r="20">
      <x:c r="A20" s="50" t="str">
        <x:v>• 2. Site capex: adopt sunk ~$75K / replication ~$105K; retire the $30K and $100-150K figures.</x:v>
      </x:c>
    </x:row>
    <x:row r="21">
      <x:c r="A21" s="50" t="str">
        <x:v>• 3. Capital ask: quote gross $112-222K; present sunk spend as evidence, don't net off. Never quote '$90-200K'.</x:v>
      </x:c>
    </x:row>
    <x:row r="22">
      <x:c r="A22" s="50" t="str">
        <x:v>• 4. Capital stack: confirm the real split and the QBE match ratio ($0 signed today).</x:v>
      </x:c>
    </x:row>
    <x:row r="23">
      <x:c r="A23" s="50" t="str">
        <x:v>• 5. Community-facility block: agree bare ~$152K / staffed ~$342K / program $300K as the three-cost-centre structure.</x:v>
      </x:c>
    </x:row>
    <x:row r="24">
      <x:c r="A24" s="50" t="str">
        <x:v>• 6. Measured run: the process is proven (40 beds); confirm whether that run's actuals (time/diesel/yield) were captured, or run a short measured one to lock $425.74.</x:v>
      </x:c>
    </x:row>
    <x:row r="25">
      <x:c r="A25" s="50" t="inlineStr">
        <x:is>
          <x:t xml:space="preserve"/>
        </x:is>
      </x:c>
    </x:row>
    <x:row r="26">
      <x:c r="A26" s="37" t="inlineStr">
        <x:is>
          <x:t xml:space="preserve">DELIBERATE EXCLUSIONS / FLAGS</x:t>
        </x:is>
      </x:c>
    </x:row>
    <x:row r="27">
      <x:c r="A27" s="50" t="inlineStr">
        <x:is>
          <x:t xml:space="preserve">• Not accountant-reviewed statutory accounts; ~89% grant-funded.</x:t>
        </x:is>
      </x:c>
    </x:row>
    <x:row r="28">
      <x:c r="A28" s="50" t="inlineStr">
        <x:is>
          <x:t xml:space="preserve">• Container &amp; equipment capex are modelled midpoints / desktop estimates, NOT firm quotes.</x:t>
        </x:is>
      </x:c>
    </x:row>
    <x:row r="29">
      <x:c r="A29" s="50" t="str">
        <x:v>• CRM pipeline (~$3.42M) is internal only: not committed capital, not QBE-match evidence.</x:v>
      </x:c>
    </x:row>
    <x:row r="30">
      <x:c r="A30" s="50" t="inlineStr">
        <x:is>
          <x:t xml:space="preserve">• Founder non-production time ($67,200/yr) excluded from unit cost (cost of capital, not production).</x:t>
        </x:is>
      </x:c>
    </x:row>
    <x:row r="31">
      <x:c r="A31" s="50" t="str">
        <x:v>• Community wraparound (Pot 2) is grant-funded and separate: never funded from bed sales.</x:v>
      </x:c>
    </x:row>
  </x:sheetData>
  <x:pageMargins left="0.7" right="0.7" top="0.75" bottom="0.75" header="0.3" footer="0.3"/>
</x:worksheet>
</file>