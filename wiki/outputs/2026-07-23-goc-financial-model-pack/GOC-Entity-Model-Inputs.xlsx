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No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color rgb="00666666"/>
      <sz val="9"/>
    </font>
    <font>
      <b val="1"/>
      <color rgb="00FFFFFF"/>
      <sz val="11"/>
    </font>
    <font>
      <b val="1"/>
    </font>
    <font>
      <color rgb="000000CC"/>
    </font>
  </fonts>
  <fills count="3">
    <fill>
      <patternFill/>
    </fill>
    <fill>
      <patternFill patternType="gray125"/>
    </fill>
    <fill>
      <patternFill patternType="solid">
        <fgColor rgb="002E539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3" fontId="5" fillId="0" borderId="0" pivotButton="0" quotePrefix="0" xfId="0"/>
    <xf numFmtId="0" fontId="2" fillId="0" borderId="0" pivotButton="0" quotePrefix="0" xfId="0"/>
    <xf numFmtId="3" fontId="4" fillId="0" borderId="0" pivotButton="0" quotePrefix="0" xfId="0"/>
    <xf numFmtId="9" fontId="5" fillId="0" borderId="0" pivotButton="0" quotePrefix="0" xfId="0"/>
    <xf numFmtId="1" fontId="5" fillId="0" borderId="0" pivotButton="0" quotePrefix="0" xfId="0"/>
    <xf numFmtId="2" fontId="5" fillId="0" borderId="0" pivotButton="0" quotePrefix="0" xfId="0"/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17" customWidth="1" min="3" max="3"/>
    <col width="66" customWidth="1" min="4" max="4"/>
  </cols>
  <sheetData>
    <row r="1">
      <c r="A1" s="1" t="inlineStr">
        <is>
          <t>Goods on Country — GOC Entity Model Inputs</t>
        </is>
      </c>
    </row>
    <row r="2" ht="58" customHeight="1">
      <c r="A2" s="2" t="inlineStr">
        <is>
          <t>Blue = editable input.  Black = formula.  All AUD ex-GST unless noted.  These are the ENTITY-level figures to wrap the bed unit-costing model into a GOC-only 3-statement model. The bed model (cost/bed, facility build, production &amp; sales, capital stack) plugs in as the production driver; this sheet adds the historical base, opening position, working capital, financing split, tax and the grant-funded community wraparound. Every figure carries a status + source. See the Notes tab for provenance.</t>
        </is>
      </c>
    </row>
    <row r="4">
      <c r="A4" s="3" t="inlineStr">
        <is>
          <t>1. HISTORICAL ACTUALS — GOODS CARVE-OUT (base year, FY2026)</t>
        </is>
      </c>
      <c r="B4" s="4" t="n"/>
      <c r="C4" s="4" t="n"/>
      <c r="D4" s="4" t="n"/>
    </row>
    <row r="5">
      <c r="A5" s="5" t="inlineStr">
        <is>
          <t>Line item</t>
        </is>
      </c>
      <c r="B5" s="5" t="inlineStr">
        <is>
          <t>Value</t>
        </is>
      </c>
      <c r="C5" s="5" t="inlineStr">
        <is>
          <t>Status</t>
        </is>
      </c>
      <c r="D5" s="5" t="inlineStr">
        <is>
          <t>Source / notes</t>
        </is>
      </c>
    </row>
    <row r="6">
      <c r="A6" t="inlineStr">
        <is>
          <t>Revenue (accountant-signed Goods-only carve-out)</t>
        </is>
      </c>
      <c r="B6" s="6" t="n">
        <v>713827</v>
      </c>
      <c r="C6" s="7" t="inlineStr">
        <is>
          <t>accountant-signed</t>
        </is>
      </c>
      <c r="D6" s="2" t="inlineStr">
        <is>
          <t>The ONLY externally-quotable revenue figure. Never the $403,901 'surplus' (entity P&amp;L is a net loss).</t>
        </is>
      </c>
    </row>
    <row r="7">
      <c r="A7" t="inlineStr">
        <is>
          <t>Cash received (ACCREC paid)</t>
        </is>
      </c>
      <c r="B7" s="6" t="n">
        <v>649711</v>
      </c>
      <c r="C7" s="7" t="inlineStr">
        <is>
          <t>verified</t>
        </is>
      </c>
      <c r="D7" s="2" t="inlineStr">
        <is>
          <t>ACT-infra Xero, ACT-GD, 2026-05-29.</t>
        </is>
      </c>
    </row>
    <row r="8">
      <c r="A8" t="inlineStr">
        <is>
          <t>Accounts receivable (still due)</t>
        </is>
      </c>
      <c r="B8" s="6" t="n">
        <v>143000</v>
      </c>
      <c r="C8" s="7" t="inlineStr">
        <is>
          <t>workpaper</t>
        </is>
      </c>
      <c r="D8" s="2" t="inlineStr"/>
    </row>
    <row r="9">
      <c r="A9" t="inlineStr">
        <is>
          <t>Goods expenses (single cash basis)</t>
        </is>
      </c>
      <c r="B9" s="6" t="n">
        <v>309126</v>
      </c>
      <c r="C9" s="7" t="inlineStr">
        <is>
          <t>verified</t>
        </is>
      </c>
      <c r="D9" s="2" t="inlineStr">
        <is>
          <t>ACT-GD bank spend less 1300-Washer reclass. AP genuinely ~$0 owed (matching gap, not debt).</t>
        </is>
      </c>
    </row>
    <row r="10">
      <c r="A10" s="5" t="inlineStr">
        <is>
          <t>Operating surplus before founder time</t>
        </is>
      </c>
      <c r="B10" s="8">
        <f>B7-B9</f>
        <v/>
      </c>
      <c r="D10" s="7">
        <f> cash received − expenses. Model does NOT only work because founders unpaid.</f>
        <v/>
      </c>
    </row>
    <row r="11">
      <c r="A11" t="inlineStr">
        <is>
          <t>Grant-funded share of revenue</t>
        </is>
      </c>
      <c r="B11" s="9" t="n">
        <v>0.89</v>
      </c>
      <c r="C11" s="7" t="inlineStr">
        <is>
          <t>verified</t>
        </is>
      </c>
      <c r="D11" s="2" t="inlineStr">
        <is>
          <t>Grant-funded social enterprise building toward commercial sustainability.</t>
        </is>
      </c>
    </row>
    <row r="13">
      <c r="A13" s="3" t="inlineStr">
        <is>
          <t>2. OPENING BALANCE SHEET POSITION (start of forecast)</t>
        </is>
      </c>
      <c r="B13" s="4" t="n"/>
      <c r="C13" s="4" t="n"/>
      <c r="D13" s="4" t="n"/>
    </row>
    <row r="14">
      <c r="A14" s="5" t="inlineStr">
        <is>
          <t>Line item</t>
        </is>
      </c>
      <c r="B14" s="5" t="inlineStr">
        <is>
          <t>Value</t>
        </is>
      </c>
      <c r="C14" s="5" t="inlineStr">
        <is>
          <t>Status</t>
        </is>
      </c>
      <c r="D14" s="5" t="inlineStr">
        <is>
          <t>Source / notes</t>
        </is>
      </c>
    </row>
    <row r="15">
      <c r="A15" t="inlineStr">
        <is>
          <t>Opening cash</t>
        </is>
      </c>
      <c r="B15" s="6" t="n">
        <v>50000</v>
      </c>
      <c r="C15" s="7" t="inlineStr">
        <is>
          <t>assumption</t>
        </is>
      </c>
      <c r="D15" s="2" t="inlineStr">
        <is>
          <t>Most important single input (base placeholder). Confirm with Ben.</t>
        </is>
      </c>
    </row>
    <row r="16">
      <c r="A16" t="inlineStr">
        <is>
          <t>Plant &amp; equipment (sunk, evidenced)</t>
        </is>
      </c>
      <c r="B16" s="6" t="n">
        <v>75000</v>
      </c>
      <c r="C16" s="7" t="inlineStr">
        <is>
          <t>evidenced</t>
        </is>
      </c>
      <c r="D16" s="2" t="inlineStr">
        <is>
          <t>MVF hardware, mostly used deals (Nic). Ownership handover targeted end-Aug 2026.</t>
        </is>
      </c>
    </row>
    <row r="17">
      <c r="A17" t="inlineStr">
        <is>
          <t>Borrowings (today)</t>
        </is>
      </c>
      <c r="B17" s="6" t="n">
        <v>0</v>
      </c>
      <c r="C17" s="7" t="inlineStr">
        <is>
          <t>verified</t>
        </is>
      </c>
      <c r="D17" s="2" t="inlineStr">
        <is>
          <t>No debt; AP ~$0 owed.</t>
        </is>
      </c>
    </row>
    <row r="18">
      <c r="A18" s="5" t="inlineStr">
        <is>
          <t>Opening contributed capital</t>
        </is>
      </c>
      <c r="B18" s="8">
        <f>B15+B16</f>
        <v/>
      </c>
      <c r="D18" s="7">
        <f> opening cash + sunk plant (so the opening balance sheet balances).</f>
        <v/>
      </c>
    </row>
    <row r="20">
      <c r="A20" s="3" t="inlineStr">
        <is>
          <t>3. GOC OPERATING COST STRUCTURE — per year (Pot 1, production)</t>
        </is>
      </c>
      <c r="B20" s="4" t="n"/>
      <c r="C20" s="4" t="n"/>
      <c r="D20" s="4" t="n"/>
    </row>
    <row r="21">
      <c r="A21" s="5" t="inlineStr">
        <is>
          <t>Line item</t>
        </is>
      </c>
      <c r="B21" s="5" t="inlineStr">
        <is>
          <t>Value</t>
        </is>
      </c>
      <c r="C21" s="5" t="inlineStr">
        <is>
          <t>Status</t>
        </is>
      </c>
      <c r="D21" s="5" t="inlineStr">
        <is>
          <t>Source / notes</t>
        </is>
      </c>
    </row>
    <row r="22">
      <c r="A22" t="inlineStr">
        <is>
          <t>Founder production time (30d x $560)</t>
        </is>
      </c>
      <c r="B22" s="6" t="n">
        <v>16800</v>
      </c>
      <c r="C22" s="7" t="inlineStr">
        <is>
          <t>locked</t>
        </is>
      </c>
      <c r="D22" s="2" t="inlineStr">
        <is>
          <t>Locked 2026-05-29. Only production days touch unit cost.</t>
        </is>
      </c>
    </row>
    <row r="23">
      <c r="A23" t="inlineStr">
        <is>
          <t>Kirmos facility (50% to beds)</t>
        </is>
      </c>
      <c r="B23" s="6" t="n">
        <v>27000</v>
      </c>
      <c r="C23" s="7" t="inlineStr">
        <is>
          <t>verified</t>
        </is>
      </c>
      <c r="D23" s="2" t="inlineStr">
        <is>
          <t>GoC Q&amp;A Q1 confirms.</t>
        </is>
      </c>
    </row>
    <row r="24">
      <c r="A24" t="inlineStr">
        <is>
          <t>Admin</t>
        </is>
      </c>
      <c r="B24" s="6" t="n">
        <v>14700</v>
      </c>
      <c r="C24" s="7" t="inlineStr">
        <is>
          <t>verified</t>
        </is>
      </c>
      <c r="D24" s="2" t="inlineStr"/>
    </row>
    <row r="25">
      <c r="A25" t="inlineStr">
        <is>
          <t>Field travel</t>
        </is>
      </c>
      <c r="B25" s="6" t="n">
        <v>51000</v>
      </c>
      <c r="C25" s="7" t="inlineStr">
        <is>
          <t>verified</t>
        </is>
      </c>
      <c r="D25" s="2" t="inlineStr"/>
    </row>
    <row r="26">
      <c r="A26" s="5" t="inlineStr">
        <is>
          <t>TOTAL fixed operating block / yr</t>
        </is>
      </c>
      <c r="B26" s="8">
        <f>SUM(B22:B25)</f>
        <v/>
      </c>
      <c r="D26" s="7">
        <f> $109,500, confirmed line by line (GoC Q&amp;A Q1).</f>
        <v/>
      </c>
    </row>
    <row r="27">
      <c r="A27" t="inlineStr">
        <is>
          <t>Equipment maintenance (% of $167K equip, per facility)</t>
        </is>
      </c>
      <c r="B27" s="9" t="n">
        <v>0.05</v>
      </c>
      <c r="C27" s="7" t="inlineStr">
        <is>
          <t>placeholder</t>
        </is>
      </c>
      <c r="D27" s="2" t="inlineStr">
        <is>
          <t>3-5% pending vendor quotes. $167K = shredder+press+CNC+bench midpoints.</t>
        </is>
      </c>
    </row>
    <row r="29">
      <c r="A29" s="3" t="inlineStr">
        <is>
          <t>4. COMMUNITY FACILITY &amp; PROGRAM — per site per year (Pot 2, GRANT-FUNDED, kept separate)</t>
        </is>
      </c>
      <c r="B29" s="4" t="n"/>
      <c r="C29" s="4" t="n"/>
      <c r="D29" s="4" t="n"/>
    </row>
    <row r="30">
      <c r="A30" s="5" t="inlineStr">
        <is>
          <t>Line item</t>
        </is>
      </c>
      <c r="B30" s="5" t="inlineStr">
        <is>
          <t>Value</t>
        </is>
      </c>
      <c r="C30" s="5" t="inlineStr">
        <is>
          <t>Status</t>
        </is>
      </c>
      <c r="D30" s="5" t="inlineStr">
        <is>
          <t>Source / notes</t>
        </is>
      </c>
    </row>
    <row r="31">
      <c r="A31" t="inlineStr">
        <is>
          <t>Bare facility operating (rent+insurance+admin+upkeep)</t>
        </is>
      </c>
      <c r="B31" s="6" t="n">
        <v>151666</v>
      </c>
      <c r="C31" s="7" t="inlineStr">
        <is>
          <t>derived</t>
        </is>
      </c>
      <c r="D31" s="2" t="inlineStr">
        <is>
          <t>From the Oonchiumpa DEWR application budget lines.</t>
        </is>
      </c>
    </row>
    <row r="32">
      <c r="A32" t="inlineStr">
        <is>
          <t>Fully staffed facility (adds manager + trainer/WHS)</t>
        </is>
      </c>
      <c r="B32" s="6" t="n">
        <v>341666</v>
      </c>
      <c r="C32" s="7" t="inlineStr">
        <is>
          <t>derived</t>
        </is>
      </c>
      <c r="D32" s="2" t="inlineStr">
        <is>
          <t>Bare + manager $150K + trainer/WHS ~$40K.</t>
        </is>
      </c>
    </row>
    <row r="33">
      <c r="A33" t="inlineStr">
        <is>
          <t>Employment program (brokerage/wages)</t>
        </is>
      </c>
      <c r="B33" s="6" t="n">
        <v>300000</v>
      </c>
      <c r="C33" s="7" t="inlineStr">
        <is>
          <t>as-written</t>
        </is>
      </c>
      <c r="D33" s="2" t="inlineStr">
        <is>
          <t>DEWR application. Grant/government money, NEVER carried by bed sales.</t>
        </is>
      </c>
    </row>
    <row r="34">
      <c r="A34" s="5" t="inlineStr">
        <is>
          <t>NOTE — the two pots</t>
        </is>
      </c>
      <c r="D34" s="2" t="inlineStr">
        <is>
          <t>Production (Pot 1) pays for itself at volume. The wraparound (Pot 2) is grant-funded by design. Keep them in separate cost centres that never cross-subsidise on paper.</t>
        </is>
      </c>
    </row>
    <row r="36">
      <c r="A36" s="3" t="inlineStr">
        <is>
          <t>5. CAPITAL STACK &amp; FINANCING</t>
        </is>
      </c>
      <c r="B36" s="4" t="n"/>
      <c r="C36" s="4" t="n"/>
      <c r="D36" s="4" t="n"/>
    </row>
    <row r="37">
      <c r="A37" s="5" t="inlineStr">
        <is>
          <t>Line item</t>
        </is>
      </c>
      <c r="B37" s="5" t="inlineStr">
        <is>
          <t>Value</t>
        </is>
      </c>
      <c r="C37" s="5" t="inlineStr">
        <is>
          <t>Status</t>
        </is>
      </c>
      <c r="D37" s="5" t="inlineStr">
        <is>
          <t>Source / notes</t>
        </is>
      </c>
    </row>
    <row r="38">
      <c r="A38" t="inlineStr">
        <is>
          <t>SEFA (debt)</t>
        </is>
      </c>
      <c r="B38" s="6" t="n">
        <v>300000</v>
      </c>
      <c r="C38" s="7" t="inlineStr">
        <is>
          <t>placeholder</t>
        </is>
      </c>
      <c r="D38" s="2" t="inlineStr">
        <is>
          <t>First lender target; ownership-gate-free. Draw Yr1.</t>
        </is>
      </c>
    </row>
    <row r="39">
      <c r="A39" t="inlineStr">
        <is>
          <t>QBE (debt, repayable preferred)</t>
        </is>
      </c>
      <c r="B39" s="6" t="n">
        <v>400000</v>
      </c>
      <c r="C39" s="7" t="inlineStr">
        <is>
          <t>placeholder</t>
        </is>
      </c>
      <c r="D39" s="2" t="inlineStr">
        <is>
          <t>At-least-matched by signed external capital. Draw Yr2. Match ratio + eligible/match split TBC.</t>
        </is>
      </c>
    </row>
    <row r="40">
      <c r="A40" t="inlineStr">
        <is>
          <t>Anchor philanthropy (equity / grant to capital)</t>
        </is>
      </c>
      <c r="B40" s="6" t="n">
        <v>500000</v>
      </c>
      <c r="C40" s="7" t="inlineStr">
        <is>
          <t>placeholder</t>
        </is>
      </c>
      <c r="D40" s="2" t="inlineStr">
        <is>
          <t>Draw Yr1.</t>
        </is>
      </c>
    </row>
    <row r="41">
      <c r="A41" s="5" t="inlineStr">
        <is>
          <t>TOTAL capital stack</t>
        </is>
      </c>
      <c r="B41" s="8">
        <f>SUM(B38:B40)</f>
        <v/>
      </c>
      <c r="D41" s="7" t="inlineStr"/>
    </row>
    <row r="42">
      <c r="A42" t="inlineStr">
        <is>
          <t>Interest rate on debt</t>
        </is>
      </c>
      <c r="B42" s="9" t="n">
        <v>0.06</v>
      </c>
      <c r="C42" s="7" t="inlineStr">
        <is>
          <t>assumption</t>
        </is>
      </c>
      <c r="D42" s="2" t="inlineStr">
        <is>
          <t>Interest-only assumed in the forecast window.</t>
        </is>
      </c>
    </row>
    <row r="43">
      <c r="A43" t="inlineStr">
        <is>
          <t>Signed match-eligible capital today</t>
        </is>
      </c>
      <c r="B43" s="6" t="n">
        <v>0</v>
      </c>
      <c r="C43" s="7" t="inlineStr">
        <is>
          <t>verified</t>
        </is>
      </c>
      <c r="D43" s="2" t="inlineStr">
        <is>
          <t>0 open Goods-eligible grants; 51% First Nations ownership = biggest unlock.</t>
        </is>
      </c>
    </row>
    <row r="45">
      <c r="A45" s="3" t="inlineStr">
        <is>
          <t>6. WORKING CAPITAL &amp; TAX (for the 3-statement build)</t>
        </is>
      </c>
      <c r="B45" s="4" t="n"/>
      <c r="C45" s="4" t="n"/>
      <c r="D45" s="4" t="n"/>
    </row>
    <row r="46">
      <c r="A46" s="5" t="inlineStr">
        <is>
          <t>Line item</t>
        </is>
      </c>
      <c r="B46" s="5" t="inlineStr">
        <is>
          <t>Value</t>
        </is>
      </c>
      <c r="C46" s="5" t="inlineStr">
        <is>
          <t>Status</t>
        </is>
      </c>
      <c r="D46" s="5" t="inlineStr">
        <is>
          <t>Source / notes</t>
        </is>
      </c>
    </row>
    <row r="47">
      <c r="A47" t="inlineStr">
        <is>
          <t>Debtor days</t>
        </is>
      </c>
      <c r="B47" s="10" t="n">
        <v>30</v>
      </c>
      <c r="C47" s="7" t="inlineStr">
        <is>
          <t>assumption</t>
        </is>
      </c>
      <c r="D47" s="2" t="inlineStr">
        <is>
          <t>On product revenue.</t>
        </is>
      </c>
    </row>
    <row r="48">
      <c r="A48" t="inlineStr">
        <is>
          <t>Creditor days</t>
        </is>
      </c>
      <c r="B48" s="10" t="n">
        <v>30</v>
      </c>
      <c r="C48" s="7" t="inlineStr">
        <is>
          <t>assumption</t>
        </is>
      </c>
      <c r="D48" s="2" t="inlineStr">
        <is>
          <t>On cash operating costs.</t>
        </is>
      </c>
    </row>
    <row r="49">
      <c r="A49" t="inlineStr">
        <is>
          <t>Inventory days</t>
        </is>
      </c>
      <c r="B49" s="10" t="n">
        <v>45</v>
      </c>
      <c r="C49" s="7" t="inlineStr">
        <is>
          <t>assumption</t>
        </is>
      </c>
      <c r="D49" s="2" t="inlineStr">
        <is>
          <t>On bed COGS.</t>
        </is>
      </c>
    </row>
    <row r="50">
      <c r="A50" t="inlineStr">
        <is>
          <t>Company tax rate</t>
        </is>
      </c>
      <c r="B50" s="9" t="n">
        <v>0.25</v>
      </c>
      <c r="C50" s="7" t="inlineStr">
        <is>
          <t>assumption</t>
        </is>
      </c>
      <c r="D50" s="2" t="inlineStr">
        <is>
          <t>Pty Ltd base rate. Confirm charity/DGR treatment with accountant. Model loss carry-forward.</t>
        </is>
      </c>
    </row>
    <row r="51">
      <c r="A51" t="inlineStr">
        <is>
          <t>Plant useful life (depreciation, years)</t>
        </is>
      </c>
      <c r="B51" s="10" t="n">
        <v>10</v>
      </c>
      <c r="C51" s="7" t="inlineStr">
        <is>
          <t>assumption</t>
        </is>
      </c>
      <c r="D51" s="2" t="inlineStr">
        <is>
          <t>Straight-line.</t>
        </is>
      </c>
    </row>
    <row r="53">
      <c r="A53" s="3" t="inlineStr">
        <is>
          <t>7. BED ECONOMICS — the production plug (from the bed unit-costing model)</t>
        </is>
      </c>
      <c r="B53" s="4" t="n"/>
      <c r="C53" s="4" t="n"/>
      <c r="D53" s="4" t="n"/>
    </row>
    <row r="54">
      <c r="A54" s="5" t="inlineStr">
        <is>
          <t>Line item</t>
        </is>
      </c>
      <c r="B54" s="5" t="inlineStr">
        <is>
          <t>Value</t>
        </is>
      </c>
      <c r="C54" s="5" t="inlineStr">
        <is>
          <t>Status</t>
        </is>
      </c>
      <c r="D54" s="5" t="inlineStr">
        <is>
          <t>Source / notes</t>
        </is>
      </c>
    </row>
    <row r="55">
      <c r="A55" t="inlineStr">
        <is>
          <t>Selling price per bed</t>
        </is>
      </c>
      <c r="B55" s="6" t="n">
        <v>750</v>
      </c>
      <c r="C55" s="7" t="inlineStr">
        <is>
          <t>verified</t>
        </is>
      </c>
      <c r="D55" s="2" t="inlineStr">
        <is>
          <t>Shop stretch-bed-single, held flat.</t>
        </is>
      </c>
    </row>
    <row r="56">
      <c r="A56" t="inlineStr">
        <is>
          <t>Marginal cost per bed — Buy-Kit</t>
        </is>
      </c>
      <c r="B56" s="11" t="n">
        <v>684.79</v>
      </c>
      <c r="C56" s="7" t="inlineStr">
        <is>
          <t>modelled</t>
        </is>
      </c>
      <c r="D56" s="2" t="inlineStr">
        <is>
          <t>Today's bought-in path.</t>
        </is>
      </c>
    </row>
    <row r="57">
      <c r="A57" t="inlineStr">
        <is>
          <t>Marginal cost per bed — Factory</t>
        </is>
      </c>
      <c r="B57" s="11" t="n">
        <v>425.74</v>
      </c>
      <c r="C57" s="7" t="inlineStr">
        <is>
          <t>modelled (proven)</t>
        </is>
      </c>
      <c r="D57" s="2" t="inlineStr">
        <is>
          <t>PROCESS PROVEN: 40 Maningrida beds made in-house at the farm. Per-bed cost modelled pending measured actuals.</t>
        </is>
      </c>
    </row>
    <row r="58">
      <c r="A58" t="inlineStr">
        <is>
          <t>Marginal cost per bed — Community</t>
        </is>
      </c>
      <c r="B58" s="11" t="n">
        <v>420.74</v>
      </c>
      <c r="C58" s="7" t="inlineStr">
        <is>
          <t>modelled (future)</t>
        </is>
      </c>
      <c r="D58" s="2" t="inlineStr">
        <is>
          <t>On-country community path not yet run.</t>
        </is>
      </c>
    </row>
    <row r="59">
      <c r="A59" t="inlineStr">
        <is>
          <t>Contribution per bed — Factory / Community</t>
        </is>
      </c>
      <c r="B59" s="11" t="n">
        <v>329.26</v>
      </c>
      <c r="C59" s="7" t="inlineStr">
        <is>
          <t>derived</t>
        </is>
      </c>
      <c r="D59" s="2" t="inlineStr">
        <is>
          <t>$750 − Community marginal (Factory = $324.26). In-sourcing legs is the whole prize.</t>
        </is>
      </c>
    </row>
    <row r="60">
      <c r="A60" t="inlineStr">
        <is>
          <t>Break-even — Factory / Community (beds/yr)</t>
        </is>
      </c>
      <c r="B60" s="10" t="n">
        <v>338</v>
      </c>
      <c r="C60" s="7" t="inlineStr">
        <is>
          <t>derived</t>
        </is>
      </c>
      <c r="D60" s="2" t="inlineStr">
        <is>
          <t>Fixed block ÷ contribution. Community ~333.</t>
        </is>
      </c>
    </row>
    <row r="62">
      <c r="A62" s="3" t="inlineStr">
        <is>
          <t>KEY NOTES (carry into the model's cover)</t>
        </is>
      </c>
      <c r="B62" s="4" t="n"/>
      <c r="C62" s="4" t="n"/>
      <c r="D62" s="4" t="n"/>
    </row>
    <row r="63" ht="28" customHeight="1">
      <c r="A63" s="2" t="inlineStr">
        <is>
          <t>• Two pots: production (Pot 1) self-funds at volume; the community wraparound (Pot 2) is grant-funded by design, never from bed sales.</t>
        </is>
      </c>
    </row>
    <row r="64" ht="28" customHeight="1">
      <c r="A64" s="2" t="inlineStr">
        <is>
          <t>• Factory path is PROVEN — 40 Maningrida Stretch beds pressed + CNC'd + assembled in-house at the farm. Open = the measured per-bed cost/rate at volume, and the separate on-country community path.</t>
        </is>
      </c>
    </row>
    <row r="65" ht="28" customHeight="1">
      <c r="A65" s="2" t="inlineStr">
        <is>
          <t>• These are Xero-mirror workpaper figures, NOT accountant-reviewed statutory accounts. ~89% grant-funded. Capex not firm-quoted.</t>
        </is>
      </c>
    </row>
    <row r="66" ht="28" customHeight="1">
      <c r="A66" s="2" t="inlineStr">
        <is>
          <t>• Base year revenue to use = the accountant-signed carve-out $713,827 only.</t>
        </is>
      </c>
    </row>
  </sheetData>
  <mergeCells count="5">
    <mergeCell ref="A64:D64"/>
    <mergeCell ref="A65:D65"/>
    <mergeCell ref="A2:D2"/>
    <mergeCell ref="A63:D63"/>
    <mergeCell ref="A66:D6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Provenance, sources &amp; status — GOC Entity Model Inputs (2026-07-23)</t>
        </is>
      </c>
    </row>
    <row r="2">
      <c r="A2" s="2" t="inlineStr"/>
    </row>
    <row r="3">
      <c r="A3" s="12" t="inlineStr">
        <is>
          <t>PURPOSE</t>
        </is>
      </c>
    </row>
    <row r="4">
      <c r="A4" s="2" t="inlineStr">
        <is>
          <t>The entity-level figures needed to wrap the bed unit-costing model into a GOC-only 3-statement model. Mirrors the format of 'GOC Bed Unit-Costing Model v2.xlsx'. Full traceable figure set (117 rows) = goc-data-and-figures-pack.csv in the same folder.</t>
        </is>
      </c>
    </row>
    <row r="5">
      <c r="A5" s="2" t="inlineStr"/>
    </row>
    <row r="6">
      <c r="A6" s="12" t="inlineStr">
        <is>
          <t>STATUS VOCABULARY</t>
        </is>
      </c>
    </row>
    <row r="7">
      <c r="A7" s="2" t="inlineStr">
        <is>
          <t>accountant-signed = endorsed by the accountant.  verified = traced to invoice / register / Xero pull / ASIC.  evidenced = Xero bill/bank-line level.  derived = arithmetic here from cited inputs.  workpaper = unaudited Xero-mirror.  modelled = calculated from verified inputs (Factory process proven, per-bed cost not yet measured at volume).  assumption / placeholder = no second source or an explicit placeholder pending a decision.</t>
        </is>
      </c>
    </row>
    <row r="8">
      <c r="A8" s="2" t="inlineStr"/>
    </row>
    <row r="9">
      <c r="A9" s="12" t="inlineStr">
        <is>
          <t>SOURCES</t>
        </is>
      </c>
    </row>
    <row r="10">
      <c r="A10" s="2" t="inlineStr">
        <is>
          <t>• Block 1 (historical): matt-document-bundle/04-verified-financials.md (Xero ACT-GD, 2026-05-29) + current canon revenue carve-out $713,827.</t>
        </is>
      </c>
    </row>
    <row r="11">
      <c r="A11" s="2" t="inlineStr">
        <is>
          <t>• Block 2 (opening position): 2026-07-22-minimal-viable-facility-model.md (sunk ~$75K evidenced).</t>
        </is>
      </c>
    </row>
    <row r="12">
      <c r="A12" s="2" t="inlineStr">
        <is>
          <t>• Block 3 (fixed block): 03-cost-model-and-build-paths.md; GoC Q&amp;A Q1 confirms the $109,500 breakdown.</t>
        </is>
      </c>
    </row>
    <row r="13">
      <c r="A13" s="2" t="inlineStr">
        <is>
          <t>• Block 4 (Pot 2): 2026-07-22-community-facility-operating-model.md (Oonchiumpa DEWR application budget lines).</t>
        </is>
      </c>
    </row>
    <row r="14">
      <c r="A14" s="2" t="inlineStr">
        <is>
          <t>• Block 5 (capital stack): 04-verified-financials.md; QBE Stage 2 terms. PLACEHOLDER split.</t>
        </is>
      </c>
    </row>
    <row r="15">
      <c r="A15" s="2" t="inlineStr">
        <is>
          <t>• Block 6 (working capital/tax): modelling assumptions, flagged.</t>
        </is>
      </c>
    </row>
    <row r="16">
      <c r="A16" s="2" t="inlineStr">
        <is>
          <t>• Block 7 (bed economics): 03-cost-model-and-build-paths.md (v6). Reconciles exactly to Matt's Inputs block 1.</t>
        </is>
      </c>
    </row>
    <row r="17">
      <c r="A17" s="2" t="inlineStr"/>
    </row>
    <row r="18">
      <c r="A18" s="12" t="inlineStr">
        <is>
          <t>DECISIONS FOR BEN (the six that firm up the placeholders)</t>
        </is>
      </c>
    </row>
    <row r="19">
      <c r="A19" s="2" t="inlineStr">
        <is>
          <t>• 1. HDPE per-bed mass &amp; rate — confirm 20kg @ $2.75 as the model figure, reconcile the '20kg diverted' claim.</t>
        </is>
      </c>
    </row>
    <row r="20">
      <c r="A20" s="2" t="inlineStr">
        <is>
          <t>• 2. Site capex — adopt sunk ~$75K / replication ~$105K; retire the $30K and $100-150K figures.</t>
        </is>
      </c>
    </row>
    <row r="21">
      <c r="A21" s="2" t="inlineStr">
        <is>
          <t>• 3. Capital ask — quote gross $112-222K; present sunk spend as evidence, don't net off. Never quote '$90-200K'.</t>
        </is>
      </c>
    </row>
    <row r="22">
      <c r="A22" s="2" t="inlineStr">
        <is>
          <t>• 4. Capital stack — confirm the real split and the QBE match ratio ($0 signed today).</t>
        </is>
      </c>
    </row>
    <row r="23">
      <c r="A23" s="2" t="inlineStr">
        <is>
          <t>• 5. Community-facility block — agree bare ~$152K / staffed ~$342K / program $300K as the three-cost-centre structure.</t>
        </is>
      </c>
    </row>
    <row r="24">
      <c r="A24" s="2" t="inlineStr">
        <is>
          <t>• 6. Measured run — the process is proven (40 beds); confirm whether that run's actuals (time/diesel/yield) were captured, or run a short measured one to lock $425.74.</t>
        </is>
      </c>
    </row>
    <row r="25">
      <c r="A25" s="2" t="inlineStr"/>
    </row>
    <row r="26">
      <c r="A26" s="12" t="inlineStr">
        <is>
          <t>DELIBERATE EXCLUSIONS / FLAGS</t>
        </is>
      </c>
    </row>
    <row r="27">
      <c r="A27" s="2" t="inlineStr">
        <is>
          <t>• Not accountant-reviewed statutory accounts; ~89% grant-funded.</t>
        </is>
      </c>
    </row>
    <row r="28">
      <c r="A28" s="2" t="inlineStr">
        <is>
          <t>• Container &amp; equipment capex are modelled midpoints / desktop estimates, NOT firm quotes.</t>
        </is>
      </c>
    </row>
    <row r="29">
      <c r="A29" s="2" t="inlineStr">
        <is>
          <t>• CRM pipeline (~$3.42M) is internal only — not committed capital, not QBE-match evidence.</t>
        </is>
      </c>
    </row>
    <row r="30">
      <c r="A30" s="2" t="inlineStr">
        <is>
          <t>• Founder non-production time ($67,200/yr) excluded from unit cost (cost of capital, not production).</t>
        </is>
      </c>
    </row>
    <row r="31">
      <c r="A31" s="2" t="inlineStr">
        <is>
          <t>• Community wraparound (Pot 2) is grant-funded and separate — never funded from bed sales.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2026-07-23T00:27:14Z</dcterms:created>
  <dcterms:modified xmlns:dcterms="http://purl.org/dc/terms/" xmlns:xsi="http://www.w3.org/2001/XMLSchema-instance" xsi:type="dcterms:W3CDTF">2026-07-23T00:27:14Z</dcterms:modified>
</cp:coreProperties>
</file>