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duction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color rgb="00FFFFFF"/>
    </font>
    <font>
      <color rgb="000000CC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pivotButton="0" quotePrefix="0" xfId="0"/>
    <xf numFmtId="164" fontId="4" fillId="0" borderId="0" pivotButton="0" quotePrefix="0" xfId="0"/>
    <xf numFmtId="2" fontId="4" fillId="0" borderId="0" pivotButton="0" quotePrefix="0" xfId="0"/>
    <xf numFmtId="1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1" fontId="0" fillId="0" borderId="0" pivotButton="0" quotePrefix="0" xfId="0"/>
    <xf numFmtId="1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Goods on Country — GOC-only 3-Statement Model</t>
        </is>
      </c>
    </row>
    <row r="2" ht="42" customHeight="1">
      <c r="A2" s="2" t="inlineStr">
        <is>
          <t>Blue = input (override-able). Black = formula. All AUD ex-GST. 5-year horizon (FY1=FY2026-27). Defaults = recommended pending Ben's six decisions (see Assumptions notes + the pack's alignment doc). Base case = the central-production investment case (Pot 1); the community wraparound (Pot 2) is fully wired but zeroed until the rollout is set.</t>
        </is>
      </c>
    </row>
    <row r="4">
      <c r="A4" s="3" t="inlineStr">
        <is>
          <t>1. PRICE &amp; UNIT ECONOMICS  (Pot 1 production — from the bed model)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t="inlineStr">
        <is>
          <t>Selling price per bed</t>
        </is>
      </c>
      <c r="B5" s="5" t="n">
        <v>750</v>
      </c>
      <c r="H5" s="2" t="inlineStr">
        <is>
          <t>Verified: shop stretch-bed-single, held flat.</t>
        </is>
      </c>
    </row>
    <row r="6">
      <c r="A6" t="inlineStr">
        <is>
          <t>Buy-Kit marginal cost per bed</t>
        </is>
      </c>
      <c r="B6" s="6" t="n">
        <v>684.79</v>
      </c>
      <c r="H6" s="2" t="inlineStr">
        <is>
          <t>Modelled (verified inputs). Today's bought-in path.</t>
        </is>
      </c>
    </row>
    <row r="7">
      <c r="A7" t="inlineStr">
        <is>
          <t>Factory marginal cost per bed</t>
        </is>
      </c>
      <c r="B7" s="6" t="n">
        <v>425.74</v>
      </c>
      <c r="H7" s="2" t="inlineStr">
        <is>
          <t>PROCESS PROVEN (40-bed Maningrida in-house run); per-bed cost modelled pending measured actuals.</t>
        </is>
      </c>
    </row>
    <row r="8">
      <c r="A8" t="inlineStr">
        <is>
          <t>Community marginal cost per bed</t>
        </is>
      </c>
      <c r="B8" s="6" t="n">
        <v>420.74</v>
      </c>
      <c r="H8" s="2" t="inlineStr">
        <is>
          <t>Modelled; on-country community path is future.</t>
        </is>
      </c>
    </row>
    <row r="10">
      <c r="A10" s="3" t="inlineStr">
        <is>
          <t>2. PRODUCTION DRIVERS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t="inlineStr">
        <is>
          <t>Number of factories</t>
        </is>
      </c>
      <c r="B11" s="7" t="n">
        <v>1</v>
      </c>
      <c r="H11" s="2" t="inlineStr">
        <is>
          <t>Sunshine Coast facility, constant.</t>
        </is>
      </c>
    </row>
    <row r="12">
      <c r="A12" t="inlineStr">
        <is>
          <t>Beds per factory per year</t>
        </is>
      </c>
      <c r="B12" s="7" t="n">
        <v>500</v>
      </c>
      <c r="H12" s="2" t="inlineStr">
        <is>
          <t>Practical max ~1,000/yr.</t>
        </is>
      </c>
    </row>
    <row r="13">
      <c r="A13" t="inlineStr">
        <is>
          <t>Beds per container per year</t>
        </is>
      </c>
      <c r="B13" s="7" t="n">
        <v>500</v>
      </c>
      <c r="H13" s="2" t="inlineStr">
        <is>
          <t>Same ~1,000/yr practical max. OPEN: 250 vs 1,250 vs 1,500 — a measured run confirms.</t>
        </is>
      </c>
    </row>
    <row r="14">
      <c r="A14" t="inlineStr">
        <is>
          <t>Kit (Defy) beds per year (max)</t>
        </is>
      </c>
      <c r="B14" s="7" t="n">
        <v>100</v>
      </c>
      <c r="H14" s="2" t="inlineStr">
        <is>
          <t>Auto-tapers to 0 once in-house covers it.</t>
        </is>
      </c>
    </row>
    <row r="15">
      <c r="A15" t="inlineStr">
        <is>
          <t>First-year utilisation of new facilities</t>
        </is>
      </c>
      <c r="B15" s="8" t="n">
        <v>0.4</v>
      </c>
      <c r="H15" s="2" t="inlineStr">
        <is>
          <t>Ramp: facilities run at 40% in their build year, 100% after.</t>
        </is>
      </c>
    </row>
    <row r="16">
      <c r="C16" s="9" t="inlineStr">
        <is>
          <t>Year 1</t>
        </is>
      </c>
      <c r="D16" s="9" t="inlineStr">
        <is>
          <t>Year 2</t>
        </is>
      </c>
      <c r="E16" s="9" t="inlineStr">
        <is>
          <t>Year 3</t>
        </is>
      </c>
      <c r="F16" s="9" t="inlineStr">
        <is>
          <t>Year 4</t>
        </is>
      </c>
      <c r="G16" s="9" t="inlineStr">
        <is>
          <t>Year 5</t>
        </is>
      </c>
    </row>
    <row r="17">
      <c r="A17" t="inlineStr">
        <is>
          <t>New containers built per year</t>
        </is>
      </c>
      <c r="C17" s="7" t="n">
        <v>1</v>
      </c>
      <c r="D17" s="7" t="n">
        <v>0</v>
      </c>
      <c r="E17" s="7" t="n">
        <v>0</v>
      </c>
      <c r="F17" s="7" t="n">
        <v>1</v>
      </c>
      <c r="G17" s="7" t="n">
        <v>2</v>
      </c>
      <c r="H17" s="2" t="inlineStr">
        <is>
          <t>Explicit build plan (Ben decision). Matches Matt's endogenous ramp Y1-5.</t>
        </is>
      </c>
    </row>
    <row r="19">
      <c r="A19" s="3" t="inlineStr">
        <is>
          <t>3. FIXED OPERATING BLOCK  (Pot 1, per year)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t="inlineStr">
        <is>
          <t>Founder production time (30d x $560)</t>
        </is>
      </c>
      <c r="B20" s="5" t="n">
        <v>16800</v>
      </c>
      <c r="H20" s="2" t="inlineStr">
        <is>
          <t>Locked 2026-05-29. Only production days touch unit cost.</t>
        </is>
      </c>
    </row>
    <row r="21">
      <c r="A21" t="inlineStr">
        <is>
          <t>Kirmos facility (50% to beds)</t>
        </is>
      </c>
      <c r="B21" s="5" t="n">
        <v>27000</v>
      </c>
      <c r="H21" s="2" t="inlineStr">
        <is>
          <t>GoC Q&amp;A Q1 confirms.</t>
        </is>
      </c>
    </row>
    <row r="22">
      <c r="A22" t="inlineStr">
        <is>
          <t>Admin</t>
        </is>
      </c>
      <c r="B22" s="5" t="n">
        <v>14700</v>
      </c>
    </row>
    <row r="23">
      <c r="A23" t="inlineStr">
        <is>
          <t>Field travel</t>
        </is>
      </c>
      <c r="B23" s="5" t="n">
        <v>51000</v>
      </c>
    </row>
    <row r="24">
      <c r="A24" t="inlineStr">
        <is>
          <t>TOTAL fixed block / yr</t>
        </is>
      </c>
      <c r="B24" s="10">
        <f>SUM(B20:B23)</f>
        <v/>
      </c>
      <c r="H24" s="11">
        <f> $109,500 (confirmed line by line).</f>
        <v/>
      </c>
    </row>
    <row r="25">
      <c r="A25" t="inlineStr">
        <is>
          <t>Equipment subtotal (maintenance base)</t>
        </is>
      </c>
      <c r="B25" s="5" t="n">
        <v>167000</v>
      </c>
      <c r="H25" s="2" t="inlineStr">
        <is>
          <t>Shredder+press+CNC+bench midpoints.</t>
        </is>
      </c>
    </row>
    <row r="26">
      <c r="A26" t="inlineStr">
        <is>
          <t>Equipment maintenance % of subtotal</t>
        </is>
      </c>
      <c r="B26" s="8" t="n">
        <v>0.05</v>
      </c>
      <c r="H26" s="2" t="inlineStr">
        <is>
          <t>Placeholder 3-5% pending vendor quotes; per facility/yr.</t>
        </is>
      </c>
    </row>
    <row r="28">
      <c r="A28" s="3" t="inlineStr">
        <is>
          <t>4. CAPEX &amp; DEPRECIATION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t="inlineStr">
        <is>
          <t>Facility build cost per container</t>
        </is>
      </c>
      <c r="B29" s="5" t="n">
        <v>207450</v>
      </c>
      <c r="H29" s="2" t="inlineStr">
        <is>
          <t>Matt Inputs B27 (equipment $167K + container fit-out $40,450). Capitalised.</t>
        </is>
      </c>
    </row>
    <row r="30">
      <c r="A30" t="inlineStr">
        <is>
          <t>Opening plant (sunk, evidenced)</t>
        </is>
      </c>
      <c r="B30" s="5" t="n">
        <v>75000</v>
      </c>
      <c r="H30" s="2" t="inlineStr">
        <is>
          <t>MVF evidenced sunk hardware (Nic, used deals). Ownership handover targeted end-Aug 2026.</t>
        </is>
      </c>
    </row>
    <row r="31">
      <c r="A31" t="inlineStr">
        <is>
          <t>Plant useful life (years)</t>
        </is>
      </c>
      <c r="B31" s="7" t="n">
        <v>10</v>
      </c>
      <c r="H31" s="2" t="inlineStr">
        <is>
          <t>Straight-line, full year in year of acquisition (simplification).</t>
        </is>
      </c>
    </row>
    <row r="33">
      <c r="A33" s="3" t="inlineStr">
        <is>
          <t>5. WORKING CAPITAL &amp; TAX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t="inlineStr">
        <is>
          <t>Debtor days</t>
        </is>
      </c>
      <c r="B34" s="7" t="n">
        <v>30</v>
      </c>
      <c r="H34" s="2" t="inlineStr">
        <is>
          <t>On product revenue.</t>
        </is>
      </c>
    </row>
    <row r="35">
      <c r="A35" t="inlineStr">
        <is>
          <t>Creditor days</t>
        </is>
      </c>
      <c r="B35" s="7" t="n">
        <v>30</v>
      </c>
      <c r="H35" s="2" t="inlineStr">
        <is>
          <t>On cash operating costs.</t>
        </is>
      </c>
    </row>
    <row r="36">
      <c r="A36" t="inlineStr">
        <is>
          <t>Inventory days</t>
        </is>
      </c>
      <c r="B36" s="7" t="n">
        <v>45</v>
      </c>
      <c r="H36" s="2" t="inlineStr">
        <is>
          <t>On bed COGS.</t>
        </is>
      </c>
    </row>
    <row r="37">
      <c r="A37" t="inlineStr">
        <is>
          <t>Company tax rate</t>
        </is>
      </c>
      <c r="B37" s="8" t="n">
        <v>0.25</v>
      </c>
      <c r="H37" s="2" t="inlineStr">
        <is>
          <t>Pty Ltd base rate. Confirm charity/DGR treatment with accountant. Loss carry-forward modelled.</t>
        </is>
      </c>
    </row>
    <row r="38">
      <c r="A38" t="inlineStr">
        <is>
          <t>Interest rate on debt</t>
        </is>
      </c>
      <c r="B38" s="8" t="n">
        <v>0.06</v>
      </c>
      <c r="H38" s="2" t="inlineStr">
        <is>
          <t>On QBE+SEFA borrowings, interest-only in the 5-yr window.</t>
        </is>
      </c>
    </row>
    <row r="39">
      <c r="A39" t="inlineStr">
        <is>
          <t>Opening cash</t>
        </is>
      </c>
      <c r="B39" s="5" t="n">
        <v>50000</v>
      </c>
      <c r="H39" s="2" t="inlineStr">
        <is>
          <t>Most important single input (base placeholder).</t>
        </is>
      </c>
    </row>
    <row r="41">
      <c r="A41" s="3" t="inlineStr">
        <is>
          <t>6. CAPITAL STACK  (draw schedule)</t>
        </is>
      </c>
      <c r="B41" s="4" t="n"/>
      <c r="C41" s="12" t="inlineStr">
        <is>
          <t>Year 1</t>
        </is>
      </c>
      <c r="D41" s="12" t="inlineStr">
        <is>
          <t>Year 2</t>
        </is>
      </c>
      <c r="E41" s="12" t="inlineStr">
        <is>
          <t>Year 3</t>
        </is>
      </c>
      <c r="F41" s="12" t="inlineStr">
        <is>
          <t>Year 4</t>
        </is>
      </c>
      <c r="G41" s="12" t="inlineStr">
        <is>
          <t>Year 5</t>
        </is>
      </c>
      <c r="H41" s="4" t="n"/>
    </row>
    <row r="42">
      <c r="A42" t="inlineStr">
        <is>
          <t>Debt draw (SEFA Yr1, QBE Yr2)</t>
        </is>
      </c>
      <c r="C42" s="5" t="n">
        <v>300000</v>
      </c>
      <c r="D42" s="5" t="n">
        <v>400000</v>
      </c>
      <c r="E42" s="5" t="n">
        <v>0</v>
      </c>
      <c r="F42" s="5" t="n">
        <v>0</v>
      </c>
      <c r="G42" s="5" t="n">
        <v>0</v>
      </c>
      <c r="H42" s="2" t="inlineStr">
        <is>
          <t>Repayable capital. PLACEHOLDER — confirm split + QBE match ratio. $0 signed today.</t>
        </is>
      </c>
    </row>
    <row r="43">
      <c r="A43" t="inlineStr">
        <is>
          <t>Equity draw (anchor philanthropy)</t>
        </is>
      </c>
      <c r="C43" s="5" t="n">
        <v>500000</v>
      </c>
      <c r="D43" s="5" t="n">
        <v>0</v>
      </c>
      <c r="E43" s="5" t="n">
        <v>0</v>
      </c>
      <c r="F43" s="5" t="n">
        <v>0</v>
      </c>
      <c r="G43" s="5" t="n">
        <v>0</v>
      </c>
      <c r="H43" s="2" t="inlineStr">
        <is>
          <t>Contributed capital / grant to capital. PLACEHOLDER.</t>
        </is>
      </c>
    </row>
    <row r="45">
      <c r="A45" s="3" t="inlineStr">
        <is>
          <t>7. POT 2 — COMMUNITY WRAPAROUND  (grant-funded; ZERO in base case)</t>
        </is>
      </c>
      <c r="B45" s="4" t="n"/>
      <c r="C45" s="12" t="inlineStr">
        <is>
          <t>Year 1</t>
        </is>
      </c>
      <c r="D45" s="12" t="inlineStr">
        <is>
          <t>Year 2</t>
        </is>
      </c>
      <c r="E45" s="12" t="inlineStr">
        <is>
          <t>Year 3</t>
        </is>
      </c>
      <c r="F45" s="12" t="inlineStr">
        <is>
          <t>Year 4</t>
        </is>
      </c>
      <c r="G45" s="12" t="inlineStr">
        <is>
          <t>Year 5</t>
        </is>
      </c>
      <c r="H45" s="4" t="n"/>
    </row>
    <row r="46">
      <c r="A46" t="inlineStr">
        <is>
          <t>Active community sites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2" t="inlineStr">
        <is>
          <t>Base case = 0. Set &gt;0 to bring the community rollout (Pot 2) into the statements.</t>
        </is>
      </c>
    </row>
    <row r="47">
      <c r="A47" t="inlineStr">
        <is>
          <t>Bare facility op cost / site / yr</t>
        </is>
      </c>
      <c r="B47" s="5" t="n">
        <v>151666</v>
      </c>
      <c r="H47" s="2" t="inlineStr">
        <is>
          <t>DEWR-derived: rent+insurance+admin+upkeep. Consortium/grant-carried.</t>
        </is>
      </c>
    </row>
    <row r="48">
      <c r="A48" t="inlineStr">
        <is>
          <t>Staffed uplift / site / yr</t>
        </is>
      </c>
      <c r="B48" s="5" t="n">
        <v>190000</v>
      </c>
      <c r="H48" s="2" t="inlineStr">
        <is>
          <t>Manager $150K + trainer/WHS ~$40K.</t>
        </is>
      </c>
    </row>
    <row r="49">
      <c r="A49" t="inlineStr">
        <is>
          <t>Employment program / yr (if active)</t>
        </is>
      </c>
      <c r="B49" s="5" t="n">
        <v>300000</v>
      </c>
      <c r="H49" s="2" t="inlineStr">
        <is>
          <t>Brokerage/wages. Grant money, never bed sales.</t>
        </is>
      </c>
    </row>
    <row r="50">
      <c r="A50" t="inlineStr">
        <is>
          <t>Grant income (Pot 2)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2" t="inlineStr">
        <is>
          <t>Program/wraparound funding, matched to Pot 2 costs. Base = 0.</t>
        </is>
      </c>
    </row>
    <row r="52">
      <c r="A52" t="inlineStr">
        <is>
          <t>Opening capital (sunk plant + opening cash)</t>
        </is>
      </c>
      <c r="B52" s="10">
        <f>B30+B39</f>
        <v/>
      </c>
      <c r="H52" s="11" t="inlineStr">
        <is>
          <t>Opening equity so the Year-0 balance sheet balances.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>
      <c r="A1" s="1" t="inlineStr">
        <is>
          <t>Production schedule</t>
        </is>
      </c>
    </row>
    <row r="2" ht="30" customHeight="1">
      <c r="A2" s="2" t="inlineStr">
        <is>
          <t>Drives the three statements. Factory beds = factories x rate (x util in Yr1). Community beds = containers x rate (new containers at util in build year). Kit auto-tapers to 0 once in-house covers the kit input.</t>
        </is>
      </c>
    </row>
    <row r="3">
      <c r="A3" t="inlineStr">
        <is>
          <t>Line</t>
        </is>
      </c>
      <c r="C3" s="9" t="inlineStr">
        <is>
          <t>Year 1</t>
        </is>
      </c>
      <c r="D3" s="9" t="inlineStr">
        <is>
          <t>Year 2</t>
        </is>
      </c>
      <c r="E3" s="9" t="inlineStr">
        <is>
          <t>Year 3</t>
        </is>
      </c>
      <c r="F3" s="9" t="inlineStr">
        <is>
          <t>Year 4</t>
        </is>
      </c>
      <c r="G3" s="9" t="inlineStr">
        <is>
          <t>Year 5</t>
        </is>
      </c>
    </row>
    <row r="4">
      <c r="A4" t="inlineStr">
        <is>
          <t>Factories</t>
        </is>
      </c>
      <c r="C4" s="13">
        <f>'Assumptions'!$B$11</f>
        <v/>
      </c>
      <c r="D4" s="13">
        <f>'Assumptions'!$B$11</f>
        <v/>
      </c>
      <c r="E4" s="13">
        <f>'Assumptions'!$B$11</f>
        <v/>
      </c>
      <c r="F4" s="13">
        <f>'Assumptions'!$B$11</f>
        <v/>
      </c>
      <c r="G4" s="13">
        <f>'Assumptions'!$B$11</f>
        <v/>
      </c>
    </row>
    <row r="5">
      <c r="A5" t="inlineStr">
        <is>
          <t>New containers built</t>
        </is>
      </c>
      <c r="C5" s="13">
        <f>'Assumptions'!C17</f>
        <v/>
      </c>
      <c r="D5" s="13">
        <f>'Assumptions'!D17</f>
        <v/>
      </c>
      <c r="E5" s="13">
        <f>'Assumptions'!E17</f>
        <v/>
      </c>
      <c r="F5" s="13">
        <f>'Assumptions'!F17</f>
        <v/>
      </c>
      <c r="G5" s="13">
        <f>'Assumptions'!G17</f>
        <v/>
      </c>
    </row>
    <row r="6">
      <c r="A6" t="inlineStr">
        <is>
          <t>Containers operating (cumulative)</t>
        </is>
      </c>
      <c r="C6" s="13">
        <f>C5</f>
        <v/>
      </c>
      <c r="D6" s="13">
        <f>C6+D5</f>
        <v/>
      </c>
      <c r="E6" s="13">
        <f>D6+E5</f>
        <v/>
      </c>
      <c r="F6" s="13">
        <f>E6+F5</f>
        <v/>
      </c>
      <c r="G6" s="13">
        <f>F6+G5</f>
        <v/>
      </c>
    </row>
    <row r="7">
      <c r="A7" t="inlineStr">
        <is>
          <t>Factory beds</t>
        </is>
      </c>
      <c r="C7" s="13">
        <f>'Assumptions'!$B$11*'Assumptions'!$B$12*'Assumptions'!$B$15</f>
        <v/>
      </c>
      <c r="D7" s="13">
        <f>'Assumptions'!$B$11*'Assumptions'!$B$12</f>
        <v/>
      </c>
      <c r="E7" s="13">
        <f>'Assumptions'!$B$11*'Assumptions'!$B$12</f>
        <v/>
      </c>
      <c r="F7" s="13">
        <f>'Assumptions'!$B$11*'Assumptions'!$B$12</f>
        <v/>
      </c>
      <c r="G7" s="13">
        <f>'Assumptions'!$B$11*'Assumptions'!$B$12</f>
        <v/>
      </c>
    </row>
    <row r="8">
      <c r="A8" t="inlineStr">
        <is>
          <t>Community beds</t>
        </is>
      </c>
      <c r="C8" s="13">
        <f>(C6-C5)*'Assumptions'!$B$13+C5*'Assumptions'!$B$13*'Assumptions'!$B$15</f>
        <v/>
      </c>
      <c r="D8" s="13">
        <f>(D6-D5)*'Assumptions'!$B$13+D5*'Assumptions'!$B$13*'Assumptions'!$B$15</f>
        <v/>
      </c>
      <c r="E8" s="13">
        <f>(E6-E5)*'Assumptions'!$B$13+E5*'Assumptions'!$B$13*'Assumptions'!$B$15</f>
        <v/>
      </c>
      <c r="F8" s="13">
        <f>(F6-F5)*'Assumptions'!$B$13+F5*'Assumptions'!$B$13*'Assumptions'!$B$15</f>
        <v/>
      </c>
      <c r="G8" s="13">
        <f>(G6-G5)*'Assumptions'!$B$13+G5*'Assumptions'!$B$13*'Assumptions'!$B$15</f>
        <v/>
      </c>
    </row>
    <row r="9">
      <c r="A9" t="inlineStr">
        <is>
          <t>Kit beds</t>
        </is>
      </c>
      <c r="C9" s="13">
        <f>IF(C7+C8&gt;='Assumptions'!$B$14,0,'Assumptions'!$B$14)</f>
        <v/>
      </c>
      <c r="D9" s="13">
        <f>IF(D7+D8&gt;='Assumptions'!$B$14,0,'Assumptions'!$B$14)</f>
        <v/>
      </c>
      <c r="E9" s="13">
        <f>IF(E7+E8&gt;='Assumptions'!$B$14,0,'Assumptions'!$B$14)</f>
        <v/>
      </c>
      <c r="F9" s="13">
        <f>IF(F7+F8&gt;='Assumptions'!$B$14,0,'Assumptions'!$B$14)</f>
        <v/>
      </c>
      <c r="G9" s="13">
        <f>IF(G7+G8&gt;='Assumptions'!$B$14,0,'Assumptions'!$B$14)</f>
        <v/>
      </c>
    </row>
    <row r="10">
      <c r="A10" t="inlineStr">
        <is>
          <t>Total beds</t>
        </is>
      </c>
      <c r="C10" s="14">
        <f>C7+C8+C9</f>
        <v/>
      </c>
      <c r="D10" s="14">
        <f>D7+D8+D9</f>
        <v/>
      </c>
      <c r="E10" s="14">
        <f>E7+E8+E9</f>
        <v/>
      </c>
      <c r="F10" s="14">
        <f>F7+F8+F9</f>
        <v/>
      </c>
      <c r="G10" s="14">
        <f>G7+G8+G9</f>
        <v/>
      </c>
    </row>
    <row r="11">
      <c r="A11" t="inlineStr">
        <is>
          <t>Product revenue</t>
        </is>
      </c>
      <c r="C11" s="10">
        <f>C10*'Assumptions'!$B$5</f>
        <v/>
      </c>
      <c r="D11" s="10">
        <f>D10*'Assumptions'!$B$5</f>
        <v/>
      </c>
      <c r="E11" s="10">
        <f>E10*'Assumptions'!$B$5</f>
        <v/>
      </c>
      <c r="F11" s="10">
        <f>F10*'Assumptions'!$B$5</f>
        <v/>
      </c>
      <c r="G11" s="10">
        <f>G10*'Assumptions'!$B$5</f>
        <v/>
      </c>
    </row>
    <row r="12">
      <c r="A12" t="inlineStr">
        <is>
          <t>Bed COGS</t>
        </is>
      </c>
      <c r="C12" s="15">
        <f>C9*'Assumptions'!$B$6+C7*'Assumptions'!$B$7+C8*'Assumptions'!$B$8</f>
        <v/>
      </c>
      <c r="D12" s="15">
        <f>D9*'Assumptions'!$B$6+D7*'Assumptions'!$B$7+D8*'Assumptions'!$B$8</f>
        <v/>
      </c>
      <c r="E12" s="15">
        <f>E9*'Assumptions'!$B$6+E7*'Assumptions'!$B$7+E8*'Assumptions'!$B$8</f>
        <v/>
      </c>
      <c r="F12" s="15">
        <f>F9*'Assumptions'!$B$6+F7*'Assumptions'!$B$7+F8*'Assumptions'!$B$8</f>
        <v/>
      </c>
      <c r="G12" s="15">
        <f>G9*'Assumptions'!$B$6+G7*'Assumptions'!$B$7+G8*'Assumptions'!$B$8</f>
        <v/>
      </c>
    </row>
    <row r="13">
      <c r="A13" t="inlineStr">
        <is>
          <t>Gross margin (production)</t>
        </is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</row>
    <row r="14">
      <c r="A14" t="inlineStr">
        <is>
          <t>Equipment maintenance</t>
        </is>
      </c>
      <c r="C14" s="15">
        <f>'Assumptions'!$B$26*'Assumptions'!$B$25*(C4+C6)</f>
        <v/>
      </c>
      <c r="D14" s="15">
        <f>'Assumptions'!$B$26*'Assumptions'!$B$25*(D4+D6)</f>
        <v/>
      </c>
      <c r="E14" s="15">
        <f>'Assumptions'!$B$26*'Assumptions'!$B$25*(E4+E6)</f>
        <v/>
      </c>
      <c r="F14" s="15">
        <f>'Assumptions'!$B$26*'Assumptions'!$B$25*(F4+F6)</f>
        <v/>
      </c>
      <c r="G14" s="15">
        <f>'Assumptions'!$B$26*'Assumptions'!$B$25*(G4+G6)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Balance Sheet (AUD)</t>
        </is>
      </c>
    </row>
    <row r="3">
      <c r="B3" s="9" t="inlineStr">
        <is>
          <t>Opening</t>
        </is>
      </c>
      <c r="C3" s="9" t="inlineStr">
        <is>
          <t>Year 1</t>
        </is>
      </c>
      <c r="D3" s="9" t="inlineStr">
        <is>
          <t>Year 2</t>
        </is>
      </c>
      <c r="E3" s="9" t="inlineStr">
        <is>
          <t>Year 3</t>
        </is>
      </c>
      <c r="F3" s="9" t="inlineStr">
        <is>
          <t>Year 4</t>
        </is>
      </c>
      <c r="G3" s="9" t="inlineStr">
        <is>
          <t>Year 5</t>
        </is>
      </c>
    </row>
    <row r="4">
      <c r="A4" s="16" t="inlineStr">
        <is>
          <t>ASSETS</t>
        </is>
      </c>
    </row>
    <row r="5">
      <c r="A5" t="inlineStr">
        <is>
          <t>Cash</t>
        </is>
      </c>
      <c r="B5" s="15">
        <f>'Assumptions'!$B$39</f>
        <v/>
      </c>
      <c r="C5" s="15">
        <f>'CashFlow'!C22</f>
        <v/>
      </c>
      <c r="D5" s="15">
        <f>'CashFlow'!D22</f>
        <v/>
      </c>
      <c r="E5" s="15">
        <f>'CashFlow'!E22</f>
        <v/>
      </c>
      <c r="F5" s="15">
        <f>'CashFlow'!F22</f>
        <v/>
      </c>
      <c r="G5" s="15">
        <f>'CashFlow'!G22</f>
        <v/>
      </c>
    </row>
    <row r="6">
      <c r="A6" t="inlineStr">
        <is>
          <t>Accounts receivable</t>
        </is>
      </c>
      <c r="B6" s="15" t="n">
        <v>0</v>
      </c>
      <c r="C6" s="15">
        <f>'BalanceSheet'!C40</f>
        <v/>
      </c>
      <c r="D6" s="15">
        <f>'BalanceSheet'!D40</f>
        <v/>
      </c>
      <c r="E6" s="15">
        <f>'BalanceSheet'!E40</f>
        <v/>
      </c>
      <c r="F6" s="15">
        <f>'BalanceSheet'!F40</f>
        <v/>
      </c>
      <c r="G6" s="15">
        <f>'BalanceSheet'!G40</f>
        <v/>
      </c>
    </row>
    <row r="7">
      <c r="A7" t="inlineStr">
        <is>
          <t>Inventory</t>
        </is>
      </c>
      <c r="B7" s="15" t="n">
        <v>0</v>
      </c>
      <c r="C7" s="15">
        <f>'BalanceSheet'!C41</f>
        <v/>
      </c>
      <c r="D7" s="15">
        <f>'BalanceSheet'!D41</f>
        <v/>
      </c>
      <c r="E7" s="15">
        <f>'BalanceSheet'!E41</f>
        <v/>
      </c>
      <c r="F7" s="15">
        <f>'BalanceSheet'!F41</f>
        <v/>
      </c>
      <c r="G7" s="15">
        <f>'BalanceSheet'!G41</f>
        <v/>
      </c>
    </row>
    <row r="8">
      <c r="A8" t="inlineStr">
        <is>
          <t>Net PP&amp;E</t>
        </is>
      </c>
      <c r="B8" s="15">
        <f>'Assumptions'!$B$30</f>
        <v/>
      </c>
      <c r="C8" s="15">
        <f>'BalanceSheet'!C36</f>
        <v/>
      </c>
      <c r="D8" s="15">
        <f>'BalanceSheet'!D36</f>
        <v/>
      </c>
      <c r="E8" s="15">
        <f>'BalanceSheet'!E36</f>
        <v/>
      </c>
      <c r="F8" s="15">
        <f>'BalanceSheet'!F36</f>
        <v/>
      </c>
      <c r="G8" s="15">
        <f>'BalanceSheet'!G36</f>
        <v/>
      </c>
    </row>
    <row r="9">
      <c r="A9" t="inlineStr">
        <is>
          <t>TOTAL ASSETS</t>
        </is>
      </c>
      <c r="B9" s="10">
        <f>SUM(B5:B8)</f>
        <v/>
      </c>
      <c r="C9" s="10">
        <f>SUM(C5:C8)</f>
        <v/>
      </c>
      <c r="D9" s="10">
        <f>SUM(D5:D8)</f>
        <v/>
      </c>
      <c r="E9" s="10">
        <f>SUM(E5:E8)</f>
        <v/>
      </c>
      <c r="F9" s="10">
        <f>SUM(F5:F8)</f>
        <v/>
      </c>
      <c r="G9" s="10">
        <f>SUM(G5:G8)</f>
        <v/>
      </c>
    </row>
    <row r="11">
      <c r="A11" s="16" t="inlineStr">
        <is>
          <t>LIABILITIES</t>
        </is>
      </c>
    </row>
    <row r="12">
      <c r="A12" t="inlineStr">
        <is>
          <t>Accounts payable</t>
        </is>
      </c>
      <c r="B12" s="15" t="n">
        <v>0</v>
      </c>
      <c r="C12" s="15">
        <f>'BalanceSheet'!C42</f>
        <v/>
      </c>
      <c r="D12" s="15">
        <f>'BalanceSheet'!D42</f>
        <v/>
      </c>
      <c r="E12" s="15">
        <f>'BalanceSheet'!E42</f>
        <v/>
      </c>
      <c r="F12" s="15">
        <f>'BalanceSheet'!F42</f>
        <v/>
      </c>
      <c r="G12" s="15">
        <f>'BalanceSheet'!G42</f>
        <v/>
      </c>
    </row>
    <row r="13">
      <c r="A13" t="inlineStr">
        <is>
          <t>Borrowings</t>
        </is>
      </c>
      <c r="B13" s="15" t="n">
        <v>0</v>
      </c>
      <c r="C13" s="15">
        <f>'BalanceSheet'!C38</f>
        <v/>
      </c>
      <c r="D13" s="15">
        <f>'BalanceSheet'!D38</f>
        <v/>
      </c>
      <c r="E13" s="15">
        <f>'BalanceSheet'!E38</f>
        <v/>
      </c>
      <c r="F13" s="15">
        <f>'BalanceSheet'!F38</f>
        <v/>
      </c>
      <c r="G13" s="15">
        <f>'BalanceSheet'!G38</f>
        <v/>
      </c>
    </row>
    <row r="14">
      <c r="A14" t="inlineStr">
        <is>
          <t>TOTAL LIABILITIES</t>
        </is>
      </c>
      <c r="B14" s="10">
        <f>B12+B13</f>
        <v/>
      </c>
      <c r="C14" s="10">
        <f>C12+C13</f>
        <v/>
      </c>
      <c r="D14" s="10">
        <f>D12+D13</f>
        <v/>
      </c>
      <c r="E14" s="10">
        <f>E12+E13</f>
        <v/>
      </c>
      <c r="F14" s="10">
        <f>F12+F13</f>
        <v/>
      </c>
      <c r="G14" s="10">
        <f>G12+G13</f>
        <v/>
      </c>
    </row>
    <row r="16">
      <c r="A16" s="16" t="inlineStr">
        <is>
          <t>EQUITY</t>
        </is>
      </c>
    </row>
    <row r="17">
      <c r="A17" t="inlineStr">
        <is>
          <t>Contributed capital</t>
        </is>
      </c>
      <c r="B17" s="15">
        <f>'Assumptions'!$B$52</f>
        <v/>
      </c>
      <c r="C17" s="15">
        <f>B17+'Assumptions'!C43</f>
        <v/>
      </c>
      <c r="D17" s="15">
        <f>C17+'Assumptions'!D43</f>
        <v/>
      </c>
      <c r="E17" s="15">
        <f>D17+'Assumptions'!E43</f>
        <v/>
      </c>
      <c r="F17" s="15">
        <f>E17+'Assumptions'!F43</f>
        <v/>
      </c>
      <c r="G17" s="15">
        <f>F17+'Assumptions'!G43</f>
        <v/>
      </c>
    </row>
    <row r="18">
      <c r="A18" t="inlineStr">
        <is>
          <t>Retained earnings</t>
        </is>
      </c>
      <c r="B18" s="15" t="n">
        <v>0</v>
      </c>
      <c r="C18" s="15">
        <f>B18+'P&amp;L'!C25</f>
        <v/>
      </c>
      <c r="D18" s="15">
        <f>C18+'P&amp;L'!D25</f>
        <v/>
      </c>
      <c r="E18" s="15">
        <f>D18+'P&amp;L'!E25</f>
        <v/>
      </c>
      <c r="F18" s="15">
        <f>E18+'P&amp;L'!F25</f>
        <v/>
      </c>
      <c r="G18" s="15">
        <f>F18+'P&amp;L'!G25</f>
        <v/>
      </c>
    </row>
    <row r="19">
      <c r="A19" t="inlineStr">
        <is>
          <t>TOTAL EQUITY</t>
        </is>
      </c>
      <c r="B19" s="10">
        <f>B17+B18</f>
        <v/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A20" t="inlineStr">
        <is>
          <t>TOTAL LIABILITIES + EQUITY</t>
        </is>
      </c>
      <c r="B20" s="10">
        <f>B14+B19</f>
        <v/>
      </c>
      <c r="C20" s="10">
        <f>C14+C19</f>
        <v/>
      </c>
      <c r="D20" s="10">
        <f>D14+D19</f>
        <v/>
      </c>
      <c r="E20" s="10">
        <f>E14+E19</f>
        <v/>
      </c>
      <c r="F20" s="10">
        <f>F14+F19</f>
        <v/>
      </c>
      <c r="G20" s="10">
        <f>G14+G19</f>
        <v/>
      </c>
    </row>
    <row r="22">
      <c r="A22" s="9" t="inlineStr">
        <is>
          <t>BALANCE CHECK (must be 0)</t>
        </is>
      </c>
      <c r="B22" s="15">
        <f>B9-B20</f>
        <v/>
      </c>
      <c r="C22" s="15">
        <f>C9-C20</f>
        <v/>
      </c>
      <c r="D22" s="15">
        <f>D9-D20</f>
        <v/>
      </c>
      <c r="E22" s="15">
        <f>E9-E20</f>
        <v/>
      </c>
      <c r="F22" s="15">
        <f>F9-F20</f>
        <v/>
      </c>
      <c r="G22" s="15">
        <f>G9-G20</f>
        <v/>
      </c>
    </row>
    <row r="30">
      <c r="A30" s="16" t="inlineStr">
        <is>
          <t>WORKINGS</t>
        </is>
      </c>
    </row>
    <row r="31">
      <c r="A31" t="inlineStr">
        <is>
          <t>Capex (container builds)</t>
        </is>
      </c>
      <c r="C31" s="15">
        <f>'Production'!C5*'Assumptions'!$B$29</f>
        <v/>
      </c>
      <c r="D31" s="15">
        <f>'Production'!D5*'Assumptions'!$B$29</f>
        <v/>
      </c>
      <c r="E31" s="15">
        <f>'Production'!E5*'Assumptions'!$B$29</f>
        <v/>
      </c>
      <c r="F31" s="15">
        <f>'Production'!F5*'Assumptions'!$B$29</f>
        <v/>
      </c>
      <c r="G31" s="15">
        <f>'Production'!G5*'Assumptions'!$B$29</f>
        <v/>
      </c>
    </row>
    <row r="32">
      <c r="A32" t="inlineStr">
        <is>
          <t>Cumulative capex</t>
        </is>
      </c>
      <c r="C32" s="15">
        <f>C31</f>
        <v/>
      </c>
      <c r="D32" s="15">
        <f>C32+D31</f>
        <v/>
      </c>
      <c r="E32" s="15">
        <f>D32+E31</f>
        <v/>
      </c>
      <c r="F32" s="15">
        <f>E32+F31</f>
        <v/>
      </c>
      <c r="G32" s="15">
        <f>F32+G31</f>
        <v/>
      </c>
    </row>
    <row r="33">
      <c r="A33" t="inlineStr">
        <is>
          <t>Gross PP&amp;E</t>
        </is>
      </c>
      <c r="B33" s="15">
        <f>'Assumptions'!$B$30</f>
        <v/>
      </c>
      <c r="C33" s="15">
        <f>'Assumptions'!$B$30+C32</f>
        <v/>
      </c>
      <c r="D33" s="15">
        <f>'Assumptions'!$B$30+D32</f>
        <v/>
      </c>
      <c r="E33" s="15">
        <f>'Assumptions'!$B$30+E32</f>
        <v/>
      </c>
      <c r="F33" s="15">
        <f>'Assumptions'!$B$30+F32</f>
        <v/>
      </c>
      <c r="G33" s="15">
        <f>'Assumptions'!$B$30+G32</f>
        <v/>
      </c>
    </row>
    <row r="34">
      <c r="A34" t="inlineStr">
        <is>
          <t>Depreciation (year)</t>
        </is>
      </c>
      <c r="C34" s="15">
        <f>C33/'Assumptions'!$B$31</f>
        <v/>
      </c>
      <c r="D34" s="15">
        <f>D33/'Assumptions'!$B$31</f>
        <v/>
      </c>
      <c r="E34" s="15">
        <f>E33/'Assumptions'!$B$31</f>
        <v/>
      </c>
      <c r="F34" s="15">
        <f>F33/'Assumptions'!$B$31</f>
        <v/>
      </c>
      <c r="G34" s="15">
        <f>G33/'Assumptions'!$B$31</f>
        <v/>
      </c>
    </row>
    <row r="35">
      <c r="A35" t="inlineStr">
        <is>
          <t>Accumulated depreciation</t>
        </is>
      </c>
      <c r="B35" s="15" t="n">
        <v>0</v>
      </c>
      <c r="C35" s="15">
        <f>B35+C34</f>
        <v/>
      </c>
      <c r="D35" s="15">
        <f>C35+D34</f>
        <v/>
      </c>
      <c r="E35" s="15">
        <f>D35+E34</f>
        <v/>
      </c>
      <c r="F35" s="15">
        <f>E35+F34</f>
        <v/>
      </c>
      <c r="G35" s="15">
        <f>F35+G34</f>
        <v/>
      </c>
    </row>
    <row r="36">
      <c r="A36" t="inlineStr">
        <is>
          <t>Net PP&amp;E</t>
        </is>
      </c>
      <c r="B36" s="15">
        <f>'Assumptions'!$B$30</f>
        <v/>
      </c>
      <c r="C36" s="15">
        <f>C33-C35</f>
        <v/>
      </c>
      <c r="D36" s="15">
        <f>D33-D35</f>
        <v/>
      </c>
      <c r="E36" s="15">
        <f>E33-E35</f>
        <v/>
      </c>
      <c r="F36" s="15">
        <f>F33-F35</f>
        <v/>
      </c>
      <c r="G36" s="15">
        <f>G33-G35</f>
        <v/>
      </c>
    </row>
    <row r="37">
      <c r="A37" t="inlineStr">
        <is>
          <t>Debt draw</t>
        </is>
      </c>
      <c r="C37" s="15">
        <f>'Assumptions'!C42</f>
        <v/>
      </c>
      <c r="D37" s="15">
        <f>'Assumptions'!D42</f>
        <v/>
      </c>
      <c r="E37" s="15">
        <f>'Assumptions'!E42</f>
        <v/>
      </c>
      <c r="F37" s="15">
        <f>'Assumptions'!F42</f>
        <v/>
      </c>
      <c r="G37" s="15">
        <f>'Assumptions'!G42</f>
        <v/>
      </c>
    </row>
    <row r="38">
      <c r="A38" t="inlineStr">
        <is>
          <t>Borrowings (close)</t>
        </is>
      </c>
      <c r="B38" s="15" t="n">
        <v>0</v>
      </c>
      <c r="C38" s="15">
        <f>B38+C37</f>
        <v/>
      </c>
      <c r="D38" s="15">
        <f>C38+D37</f>
        <v/>
      </c>
      <c r="E38" s="15">
        <f>D38+E37</f>
        <v/>
      </c>
      <c r="F38" s="15">
        <f>E38+F37</f>
        <v/>
      </c>
      <c r="G38" s="15">
        <f>F38+G37</f>
        <v/>
      </c>
    </row>
    <row r="39">
      <c r="A39" t="inlineStr">
        <is>
          <t>Interest expense</t>
        </is>
      </c>
      <c r="C39" s="15">
        <f>B38*'Assumptions'!$B$38</f>
        <v/>
      </c>
      <c r="D39" s="15">
        <f>C38*'Assumptions'!$B$38</f>
        <v/>
      </c>
      <c r="E39" s="15">
        <f>D38*'Assumptions'!$B$38</f>
        <v/>
      </c>
      <c r="F39" s="15">
        <f>E38*'Assumptions'!$B$38</f>
        <v/>
      </c>
      <c r="G39" s="15">
        <f>F38*'Assumptions'!$B$38</f>
        <v/>
      </c>
    </row>
    <row r="40">
      <c r="A40" t="inlineStr">
        <is>
          <t>Accounts receivable</t>
        </is>
      </c>
      <c r="C40" s="15">
        <f>'Assumptions'!$B$34/365*'Production'!C11</f>
        <v/>
      </c>
      <c r="D40" s="15">
        <f>'Assumptions'!$B$34/365*'Production'!D11</f>
        <v/>
      </c>
      <c r="E40" s="15">
        <f>'Assumptions'!$B$34/365*'Production'!E11</f>
        <v/>
      </c>
      <c r="F40" s="15">
        <f>'Assumptions'!$B$34/365*'Production'!F11</f>
        <v/>
      </c>
      <c r="G40" s="15">
        <f>'Assumptions'!$B$34/365*'Production'!G11</f>
        <v/>
      </c>
    </row>
    <row r="41">
      <c r="A41" t="inlineStr">
        <is>
          <t>Inventory</t>
        </is>
      </c>
      <c r="C41" s="15">
        <f>'Assumptions'!$B$36/365*'Production'!C12</f>
        <v/>
      </c>
      <c r="D41" s="15">
        <f>'Assumptions'!$B$36/365*'Production'!D12</f>
        <v/>
      </c>
      <c r="E41" s="15">
        <f>'Assumptions'!$B$36/365*'Production'!E12</f>
        <v/>
      </c>
      <c r="F41" s="15">
        <f>'Assumptions'!$B$36/365*'Production'!F12</f>
        <v/>
      </c>
      <c r="G41" s="15">
        <f>'Assumptions'!$B$36/365*'Production'!G12</f>
        <v/>
      </c>
    </row>
    <row r="42">
      <c r="A42" t="inlineStr">
        <is>
          <t>Accounts payable</t>
        </is>
      </c>
      <c r="C42" s="15">
        <f>'Assumptions'!$B$35/365*('Production'!C12+'Assumptions'!$B$24+'Production'!C14)</f>
        <v/>
      </c>
      <c r="D42" s="15">
        <f>'Assumptions'!$B$35/365*('Production'!D12+'Assumptions'!$B$24+'Production'!D14)</f>
        <v/>
      </c>
      <c r="E42" s="15">
        <f>'Assumptions'!$B$35/365*('Production'!E12+'Assumptions'!$B$24+'Production'!E14)</f>
        <v/>
      </c>
      <c r="F42" s="15">
        <f>'Assumptions'!$B$35/365*('Production'!F12+'Assumptions'!$B$24+'Production'!F14)</f>
        <v/>
      </c>
      <c r="G42" s="15">
        <f>'Assumptions'!$B$35/365*('Production'!G12+'Assumptions'!$B$24+'Production'!G14)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Profit &amp; Loss (accrual, AUD)</t>
        </is>
      </c>
    </row>
    <row r="3">
      <c r="C3" s="9" t="inlineStr">
        <is>
          <t>Year 1</t>
        </is>
      </c>
      <c r="D3" s="9" t="inlineStr">
        <is>
          <t>Year 2</t>
        </is>
      </c>
      <c r="E3" s="9" t="inlineStr">
        <is>
          <t>Year 3</t>
        </is>
      </c>
      <c r="F3" s="9" t="inlineStr">
        <is>
          <t>Year 4</t>
        </is>
      </c>
      <c r="G3" s="9" t="inlineStr">
        <is>
          <t>Year 5</t>
        </is>
      </c>
    </row>
    <row r="4">
      <c r="A4" s="16" t="inlineStr">
        <is>
          <t>POT 1 — PRODUCTION (the investment case)</t>
        </is>
      </c>
    </row>
    <row r="5">
      <c r="A5" t="inlineStr">
        <is>
          <t>Product revenue</t>
        </is>
      </c>
      <c r="C5" s="15">
        <f>'Production'!C11</f>
        <v/>
      </c>
      <c r="D5" s="15">
        <f>'Production'!D11</f>
        <v/>
      </c>
      <c r="E5" s="15">
        <f>'Production'!E11</f>
        <v/>
      </c>
      <c r="F5" s="15">
        <f>'Production'!F11</f>
        <v/>
      </c>
      <c r="G5" s="15">
        <f>'Production'!G11</f>
        <v/>
      </c>
    </row>
    <row r="6">
      <c r="A6" t="inlineStr">
        <is>
          <t>Bed COGS</t>
        </is>
      </c>
      <c r="C6" s="15">
        <f>-'Production'!C12</f>
        <v/>
      </c>
      <c r="D6" s="15">
        <f>-'Production'!D12</f>
        <v/>
      </c>
      <c r="E6" s="15">
        <f>-'Production'!E12</f>
        <v/>
      </c>
      <c r="F6" s="15">
        <f>-'Production'!F12</f>
        <v/>
      </c>
      <c r="G6" s="15">
        <f>-'Production'!G12</f>
        <v/>
      </c>
    </row>
    <row r="7">
      <c r="A7" t="inlineStr">
        <is>
          <t>Gross profit</t>
        </is>
      </c>
      <c r="C7" s="10">
        <f>C5+C6</f>
        <v/>
      </c>
      <c r="D7" s="10">
        <f>D5+D6</f>
        <v/>
      </c>
      <c r="E7" s="10">
        <f>E5+E6</f>
        <v/>
      </c>
      <c r="F7" s="10">
        <f>F5+F6</f>
        <v/>
      </c>
      <c r="G7" s="10">
        <f>G5+G6</f>
        <v/>
      </c>
    </row>
    <row r="8">
      <c r="A8" t="inlineStr">
        <is>
          <t>Central fixed operating block</t>
        </is>
      </c>
      <c r="C8" s="15">
        <f>-'Assumptions'!$B$24</f>
        <v/>
      </c>
      <c r="D8" s="15">
        <f>-'Assumptions'!$B$24</f>
        <v/>
      </c>
      <c r="E8" s="15">
        <f>-'Assumptions'!$B$24</f>
        <v/>
      </c>
      <c r="F8" s="15">
        <f>-'Assumptions'!$B$24</f>
        <v/>
      </c>
      <c r="G8" s="15">
        <f>-'Assumptions'!$B$24</f>
        <v/>
      </c>
    </row>
    <row r="9">
      <c r="A9" t="inlineStr">
        <is>
          <t>Equipment maintenance</t>
        </is>
      </c>
      <c r="C9" s="15">
        <f>-'Production'!C14</f>
        <v/>
      </c>
      <c r="D9" s="15">
        <f>-'Production'!D14</f>
        <v/>
      </c>
      <c r="E9" s="15">
        <f>-'Production'!E14</f>
        <v/>
      </c>
      <c r="F9" s="15">
        <f>-'Production'!F14</f>
        <v/>
      </c>
      <c r="G9" s="15">
        <f>-'Production'!G14</f>
        <v/>
      </c>
    </row>
    <row r="10">
      <c r="A10" t="inlineStr">
        <is>
          <t>Production EBITDA</t>
        </is>
      </c>
      <c r="C10" s="10">
        <f>C7+C8+C9</f>
        <v/>
      </c>
      <c r="D10" s="10">
        <f>D7+D8+D9</f>
        <v/>
      </c>
      <c r="E10" s="10">
        <f>E7+E8+E9</f>
        <v/>
      </c>
      <c r="F10" s="10">
        <f>F7+F8+F9</f>
        <v/>
      </c>
      <c r="G10" s="10">
        <f>G7+G8+G9</f>
        <v/>
      </c>
    </row>
    <row r="12">
      <c r="A12" s="16" t="inlineStr">
        <is>
          <t>POT 2 — WRAPAROUND (grant-funded; zero in base case)</t>
        </is>
      </c>
    </row>
    <row r="13">
      <c r="A13" t="inlineStr">
        <is>
          <t>Grant / program income</t>
        </is>
      </c>
      <c r="C13" s="15">
        <f>'Assumptions'!C50</f>
        <v/>
      </c>
      <c r="D13" s="15">
        <f>'Assumptions'!D50</f>
        <v/>
      </c>
      <c r="E13" s="15">
        <f>'Assumptions'!E50</f>
        <v/>
      </c>
      <c r="F13" s="15">
        <f>'Assumptions'!F50</f>
        <v/>
      </c>
      <c r="G13" s="15">
        <f>'Assumptions'!G50</f>
        <v/>
      </c>
    </row>
    <row r="14">
      <c r="A14" t="inlineStr">
        <is>
          <t>Community-site facility operating</t>
        </is>
      </c>
      <c r="C14" s="15">
        <f>-'Assumptions'!C46*'Assumptions'!$B$47</f>
        <v/>
      </c>
      <c r="D14" s="15">
        <f>-'Assumptions'!D46*'Assumptions'!$B$47</f>
        <v/>
      </c>
      <c r="E14" s="15">
        <f>-'Assumptions'!E46*'Assumptions'!$B$47</f>
        <v/>
      </c>
      <c r="F14" s="15">
        <f>-'Assumptions'!F46*'Assumptions'!$B$47</f>
        <v/>
      </c>
      <c r="G14" s="15">
        <f>-'Assumptions'!G46*'Assumptions'!$B$47</f>
        <v/>
      </c>
    </row>
    <row r="15">
      <c r="A15" t="inlineStr">
        <is>
          <t>Program &amp; staff costs</t>
        </is>
      </c>
      <c r="C15" s="15">
        <f>-('Assumptions'!C46*'Assumptions'!$B$48+IF('Assumptions'!C46&gt;0,'Assumptions'!$B$49,0))</f>
        <v/>
      </c>
      <c r="D15" s="15">
        <f>-('Assumptions'!D46*'Assumptions'!$B$48+IF('Assumptions'!D46&gt;0,'Assumptions'!$B$49,0))</f>
        <v/>
      </c>
      <c r="E15" s="15">
        <f>-('Assumptions'!E46*'Assumptions'!$B$48+IF('Assumptions'!E46&gt;0,'Assumptions'!$B$49,0))</f>
        <v/>
      </c>
      <c r="F15" s="15">
        <f>-('Assumptions'!F46*'Assumptions'!$B$48+IF('Assumptions'!F46&gt;0,'Assumptions'!$B$49,0))</f>
        <v/>
      </c>
      <c r="G15" s="15">
        <f>-('Assumptions'!G46*'Assumptions'!$B$48+IF('Assumptions'!G46&gt;0,'Assumptions'!$B$49,0))</f>
        <v/>
      </c>
    </row>
    <row r="16">
      <c r="A16" t="inlineStr">
        <is>
          <t>Pot 2 net (grant less program)</t>
        </is>
      </c>
      <c r="C16" s="10">
        <f>C13+C14+C15</f>
        <v/>
      </c>
      <c r="D16" s="10">
        <f>D13+D14+D15</f>
        <v/>
      </c>
      <c r="E16" s="10">
        <f>E13+E14+E15</f>
        <v/>
      </c>
      <c r="F16" s="10">
        <f>F13+F14+F15</f>
        <v/>
      </c>
      <c r="G16" s="10">
        <f>G13+G14+G15</f>
        <v/>
      </c>
    </row>
    <row r="18">
      <c r="A18" s="16" t="inlineStr">
        <is>
          <t>ENTITY</t>
        </is>
      </c>
    </row>
    <row r="19">
      <c r="A19" t="inlineStr">
        <is>
          <t>EBITDA</t>
        </is>
      </c>
      <c r="C19" s="10">
        <f>C10+C16</f>
        <v/>
      </c>
      <c r="D19" s="10">
        <f>D10+D16</f>
        <v/>
      </c>
      <c r="E19" s="10">
        <f>E10+E16</f>
        <v/>
      </c>
      <c r="F19" s="10">
        <f>F10+F16</f>
        <v/>
      </c>
      <c r="G19" s="10">
        <f>G10+G16</f>
        <v/>
      </c>
    </row>
    <row r="20">
      <c r="A20" t="inlineStr">
        <is>
          <t>Depreciation</t>
        </is>
      </c>
      <c r="C20" s="15">
        <f>-'BalanceSheet'!C34</f>
        <v/>
      </c>
      <c r="D20" s="15">
        <f>-'BalanceSheet'!D34</f>
        <v/>
      </c>
      <c r="E20" s="15">
        <f>-'BalanceSheet'!E34</f>
        <v/>
      </c>
      <c r="F20" s="15">
        <f>-'BalanceSheet'!F34</f>
        <v/>
      </c>
      <c r="G20" s="15">
        <f>-'BalanceSheet'!G34</f>
        <v/>
      </c>
    </row>
    <row r="21">
      <c r="A21" t="inlineStr">
        <is>
          <t>EBIT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A22" t="inlineStr">
        <is>
          <t>Interest expense</t>
        </is>
      </c>
      <c r="C22" s="15">
        <f>-'BalanceSheet'!C39</f>
        <v/>
      </c>
      <c r="D22" s="15">
        <f>-'BalanceSheet'!D39</f>
        <v/>
      </c>
      <c r="E22" s="15">
        <f>-'BalanceSheet'!E39</f>
        <v/>
      </c>
      <c r="F22" s="15">
        <f>-'BalanceSheet'!F39</f>
        <v/>
      </c>
      <c r="G22" s="15">
        <f>-'BalanceSheet'!G39</f>
        <v/>
      </c>
    </row>
    <row r="23">
      <c r="A23" t="inlineStr">
        <is>
          <t>NPBT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A24" t="inlineStr">
        <is>
          <t>Income tax</t>
        </is>
      </c>
      <c r="C24" s="15">
        <f>-C28*'Assumptions'!$B$37</f>
        <v/>
      </c>
      <c r="D24" s="15">
        <f>-D28*'Assumptions'!$B$37</f>
        <v/>
      </c>
      <c r="E24" s="15">
        <f>-E28*'Assumptions'!$B$37</f>
        <v/>
      </c>
      <c r="F24" s="15">
        <f>-F28*'Assumptions'!$B$37</f>
        <v/>
      </c>
      <c r="G24" s="15">
        <f>-G28*'Assumptions'!$B$37</f>
        <v/>
      </c>
    </row>
    <row r="25">
      <c r="A25" t="inlineStr">
        <is>
          <t>NPAT</t>
        </is>
      </c>
      <c r="C25" s="10">
        <f>C23+C24</f>
        <v/>
      </c>
      <c r="D25" s="10">
        <f>D23+D24</f>
        <v/>
      </c>
      <c r="E25" s="10">
        <f>E23+E24</f>
        <v/>
      </c>
      <c r="F25" s="10">
        <f>F23+F24</f>
        <v/>
      </c>
      <c r="G25" s="10">
        <f>G23+G24</f>
        <v/>
      </c>
    </row>
    <row r="26">
      <c r="A26" s="16" t="inlineStr">
        <is>
          <t>Tax working (loss carry-forward)</t>
        </is>
      </c>
    </row>
    <row r="27">
      <c r="A27" t="inlineStr">
        <is>
          <t>Loss pool (opening)</t>
        </is>
      </c>
      <c r="B27" s="15" t="n">
        <v>0</v>
      </c>
      <c r="C27" s="15">
        <f>B27</f>
        <v/>
      </c>
      <c r="D27" s="15">
        <f>C29</f>
        <v/>
      </c>
      <c r="E27" s="15">
        <f>D29</f>
        <v/>
      </c>
      <c r="F27" s="15">
        <f>E29</f>
        <v/>
      </c>
      <c r="G27" s="15">
        <f>F29</f>
        <v/>
      </c>
    </row>
    <row r="28">
      <c r="A28" t="inlineStr">
        <is>
          <t>Taxable profit</t>
        </is>
      </c>
      <c r="C28" s="15">
        <f>MAX(0,C23-C27)</f>
        <v/>
      </c>
      <c r="D28" s="15">
        <f>MAX(0,D23-D27)</f>
        <v/>
      </c>
      <c r="E28" s="15">
        <f>MAX(0,E23-E27)</f>
        <v/>
      </c>
      <c r="F28" s="15">
        <f>MAX(0,F23-F27)</f>
        <v/>
      </c>
      <c r="G28" s="15">
        <f>MAX(0,G23-G27)</f>
        <v/>
      </c>
    </row>
    <row r="29">
      <c r="A29" t="inlineStr">
        <is>
          <t>Loss pool (closing)</t>
        </is>
      </c>
      <c r="C29" s="15">
        <f>MAX(0,C27-MAX(0,C23))+MAX(0,-C23)</f>
        <v/>
      </c>
      <c r="D29" s="15">
        <f>MAX(0,D27-MAX(0,D23))+MAX(0,-D23)</f>
        <v/>
      </c>
      <c r="E29" s="15">
        <f>MAX(0,E27-MAX(0,E23))+MAX(0,-E23)</f>
        <v/>
      </c>
      <c r="F29" s="15">
        <f>MAX(0,F27-MAX(0,F23))+MAX(0,-F23)</f>
        <v/>
      </c>
      <c r="G29" s="15">
        <f>MAX(0,G27-MAX(0,G23))+MAX(0,-G23)</f>
        <v/>
      </c>
    </row>
    <row r="31">
      <c r="A31" s="16" t="inlineStr">
        <is>
          <t>MEMO — founder time sensitivity</t>
        </is>
      </c>
    </row>
    <row r="32">
      <c r="A32" t="inlineStr">
        <is>
          <t>Full founder cost ($84K/yr)</t>
        </is>
      </c>
      <c r="C32" s="15">
        <f>-'Assumptions'!$B$20/16800*84000</f>
        <v/>
      </c>
      <c r="D32" s="15">
        <f>-'Assumptions'!$B$20/16800*84000</f>
        <v/>
      </c>
      <c r="E32" s="15">
        <f>-'Assumptions'!$B$20/16800*84000</f>
        <v/>
      </c>
      <c r="F32" s="15">
        <f>-'Assumptions'!$B$20/16800*84000</f>
        <v/>
      </c>
      <c r="G32" s="15">
        <f>-'Assumptions'!$B$20/16800*84000</f>
        <v/>
      </c>
      <c r="H32" s="11" t="inlineStr">
        <is>
          <t>Founder time is a sensitivity, not a headline. Production 30 days already in the fixed block; this memo adds the other 120 days ($67,200).</t>
        </is>
      </c>
    </row>
    <row r="33">
      <c r="A33" t="inlineStr">
        <is>
          <t>NPAT after full founder time</t>
        </is>
      </c>
      <c r="C33" s="15">
        <f>C25+C32+'Assumptions'!$B$20</f>
        <v/>
      </c>
      <c r="D33" s="15">
        <f>D25+D32+'Assumptions'!$B$20</f>
        <v/>
      </c>
      <c r="E33" s="15">
        <f>E25+E32+'Assumptions'!$B$20</f>
        <v/>
      </c>
      <c r="F33" s="15">
        <f>F25+F32+'Assumptions'!$B$20</f>
        <v/>
      </c>
      <c r="G33" s="15">
        <f>G25+G32+'Assumptions'!$B$20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Cash Flow (AUD)</t>
        </is>
      </c>
    </row>
    <row r="3">
      <c r="C3" s="9" t="inlineStr">
        <is>
          <t>Year 1</t>
        </is>
      </c>
      <c r="D3" s="9" t="inlineStr">
        <is>
          <t>Year 2</t>
        </is>
      </c>
      <c r="E3" s="9" t="inlineStr">
        <is>
          <t>Year 3</t>
        </is>
      </c>
      <c r="F3" s="9" t="inlineStr">
        <is>
          <t>Year 4</t>
        </is>
      </c>
      <c r="G3" s="9" t="inlineStr">
        <is>
          <t>Year 5</t>
        </is>
      </c>
    </row>
    <row r="4">
      <c r="A4" s="16" t="inlineStr">
        <is>
          <t>OPERATING</t>
        </is>
      </c>
    </row>
    <row r="5">
      <c r="A5" t="inlineStr">
        <is>
          <t>NPAT</t>
        </is>
      </c>
      <c r="C5" s="15">
        <f>'P&amp;L'!C25</f>
        <v/>
      </c>
      <c r="D5" s="15">
        <f>'P&amp;L'!D25</f>
        <v/>
      </c>
      <c r="E5" s="15">
        <f>'P&amp;L'!E25</f>
        <v/>
      </c>
      <c r="F5" s="15">
        <f>'P&amp;L'!F25</f>
        <v/>
      </c>
      <c r="G5" s="15">
        <f>'P&amp;L'!G25</f>
        <v/>
      </c>
    </row>
    <row r="6">
      <c r="A6" t="inlineStr">
        <is>
          <t>add: depreciation</t>
        </is>
      </c>
      <c r="C6" s="15">
        <f>'BalanceSheet'!C34</f>
        <v/>
      </c>
      <c r="D6" s="15">
        <f>'BalanceSheet'!D34</f>
        <v/>
      </c>
      <c r="E6" s="15">
        <f>'BalanceSheet'!E34</f>
        <v/>
      </c>
      <c r="F6" s="15">
        <f>'BalanceSheet'!F34</f>
        <v/>
      </c>
      <c r="G6" s="15">
        <f>'BalanceSheet'!G34</f>
        <v/>
      </c>
    </row>
    <row r="7">
      <c r="A7" t="inlineStr">
        <is>
          <t>less: increase in receivables</t>
        </is>
      </c>
      <c r="C7" s="15">
        <f>-('BalanceSheet'!C40-0)</f>
        <v/>
      </c>
      <c r="D7" s="15">
        <f>-('BalanceSheet'!D40-'BalanceSheet'!C40)</f>
        <v/>
      </c>
      <c r="E7" s="15">
        <f>-('BalanceSheet'!E40-'BalanceSheet'!D40)</f>
        <v/>
      </c>
      <c r="F7" s="15">
        <f>-('BalanceSheet'!F40-'BalanceSheet'!E40)</f>
        <v/>
      </c>
      <c r="G7" s="15">
        <f>-('BalanceSheet'!G40-'BalanceSheet'!F40)</f>
        <v/>
      </c>
    </row>
    <row r="8">
      <c r="A8" t="inlineStr">
        <is>
          <t>less: increase in inventory</t>
        </is>
      </c>
      <c r="C8" s="15">
        <f>-('BalanceSheet'!C41-0)</f>
        <v/>
      </c>
      <c r="D8" s="15">
        <f>-('BalanceSheet'!D41-'BalanceSheet'!C41)</f>
        <v/>
      </c>
      <c r="E8" s="15">
        <f>-('BalanceSheet'!E41-'BalanceSheet'!D41)</f>
        <v/>
      </c>
      <c r="F8" s="15">
        <f>-('BalanceSheet'!F41-'BalanceSheet'!E41)</f>
        <v/>
      </c>
      <c r="G8" s="15">
        <f>-('BalanceSheet'!G41-'BalanceSheet'!F41)</f>
        <v/>
      </c>
    </row>
    <row r="9">
      <c r="A9" t="inlineStr">
        <is>
          <t>add: increase in payables</t>
        </is>
      </c>
      <c r="C9" s="15">
        <f>('BalanceSheet'!C42-0)</f>
        <v/>
      </c>
      <c r="D9" s="15">
        <f>('BalanceSheet'!D42-'BalanceSheet'!C42)</f>
        <v/>
      </c>
      <c r="E9" s="15">
        <f>('BalanceSheet'!E42-'BalanceSheet'!D42)</f>
        <v/>
      </c>
      <c r="F9" s="15">
        <f>('BalanceSheet'!F42-'BalanceSheet'!E42)</f>
        <v/>
      </c>
      <c r="G9" s="15">
        <f>('BalanceSheet'!G42-'BalanceSheet'!F42)</f>
        <v/>
      </c>
    </row>
    <row r="10">
      <c r="A10" t="inlineStr">
        <is>
          <t>Net cash from operating</t>
        </is>
      </c>
      <c r="C10" s="10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  <c r="G10" s="10">
        <f>SUM(G5:G9)</f>
        <v/>
      </c>
    </row>
    <row r="12">
      <c r="A12" s="16" t="inlineStr">
        <is>
          <t>INVESTING</t>
        </is>
      </c>
    </row>
    <row r="13">
      <c r="A13" t="inlineStr">
        <is>
          <t>Capex (container builds)</t>
        </is>
      </c>
      <c r="C13" s="10">
        <f>-'BalanceSheet'!C31</f>
        <v/>
      </c>
      <c r="D13" s="10">
        <f>-'BalanceSheet'!D31</f>
        <v/>
      </c>
      <c r="E13" s="10">
        <f>-'BalanceSheet'!E31</f>
        <v/>
      </c>
      <c r="F13" s="10">
        <f>-'BalanceSheet'!F31</f>
        <v/>
      </c>
      <c r="G13" s="10">
        <f>-'BalanceSheet'!G31</f>
        <v/>
      </c>
    </row>
    <row r="15">
      <c r="A15" s="16" t="inlineStr">
        <is>
          <t>FINANCING</t>
        </is>
      </c>
    </row>
    <row r="16">
      <c r="A16" t="inlineStr">
        <is>
          <t>Debt draws</t>
        </is>
      </c>
      <c r="C16" s="15">
        <f>'Assumptions'!C42</f>
        <v/>
      </c>
      <c r="D16" s="15">
        <f>'Assumptions'!D42</f>
        <v/>
      </c>
      <c r="E16" s="15">
        <f>'Assumptions'!E42</f>
        <v/>
      </c>
      <c r="F16" s="15">
        <f>'Assumptions'!F42</f>
        <v/>
      </c>
      <c r="G16" s="15">
        <f>'Assumptions'!G42</f>
        <v/>
      </c>
    </row>
    <row r="17">
      <c r="A17" t="inlineStr">
        <is>
          <t>Equity contributions</t>
        </is>
      </c>
      <c r="C17" s="15">
        <f>'Assumptions'!C43</f>
        <v/>
      </c>
      <c r="D17" s="15">
        <f>'Assumptions'!D43</f>
        <v/>
      </c>
      <c r="E17" s="15">
        <f>'Assumptions'!E43</f>
        <v/>
      </c>
      <c r="F17" s="15">
        <f>'Assumptions'!F43</f>
        <v/>
      </c>
      <c r="G17" s="15">
        <f>'Assumptions'!G43</f>
        <v/>
      </c>
    </row>
    <row r="18">
      <c r="A18" t="inlineStr">
        <is>
          <t>Net cash from financing</t>
        </is>
      </c>
      <c r="C18" s="10">
        <f>C16+C17</f>
        <v/>
      </c>
      <c r="D18" s="10">
        <f>D16+D17</f>
        <v/>
      </c>
      <c r="E18" s="10">
        <f>E16+E17</f>
        <v/>
      </c>
      <c r="F18" s="10">
        <f>F16+F17</f>
        <v/>
      </c>
      <c r="G18" s="10">
        <f>G16+G17</f>
        <v/>
      </c>
    </row>
    <row r="20">
      <c r="A20" t="inlineStr">
        <is>
          <t>Net change in cash</t>
        </is>
      </c>
      <c r="C20" s="10">
        <f>C10+C13+C18</f>
        <v/>
      </c>
      <c r="D20" s="10">
        <f>D10+D13+D18</f>
        <v/>
      </c>
      <c r="E20" s="10">
        <f>E10+E13+E18</f>
        <v/>
      </c>
      <c r="F20" s="10">
        <f>F10+F13+F18</f>
        <v/>
      </c>
      <c r="G20" s="10">
        <f>G10+G13+G18</f>
        <v/>
      </c>
    </row>
    <row r="21">
      <c r="A21" t="inlineStr">
        <is>
          <t>Cash at start</t>
        </is>
      </c>
      <c r="C21" s="15">
        <f>'Assumptions'!$B$39</f>
        <v/>
      </c>
      <c r="D21" s="15">
        <f>C22</f>
        <v/>
      </c>
      <c r="E21" s="15">
        <f>D22</f>
        <v/>
      </c>
      <c r="F21" s="15">
        <f>E22</f>
        <v/>
      </c>
      <c r="G21" s="15">
        <f>F22</f>
        <v/>
      </c>
    </row>
    <row r="22">
      <c r="A22" t="inlineStr">
        <is>
          <t>Cash at end</t>
        </is>
      </c>
      <c r="C22" s="10">
        <f>C21+C20</f>
        <v/>
      </c>
      <c r="D22" s="10">
        <f>D21+D20</f>
        <v/>
      </c>
      <c r="E22" s="10">
        <f>E21+E20</f>
        <v/>
      </c>
      <c r="F22" s="10">
        <f>F21+F20</f>
        <v/>
      </c>
      <c r="G22" s="10">
        <f>G21+G20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Sources &amp; status</t>
        </is>
      </c>
    </row>
    <row r="3">
      <c r="A3" s="9" t="inlineStr">
        <is>
          <t>Full figure set</t>
        </is>
      </c>
      <c r="B3" s="17" t="inlineStr">
        <is>
          <t>goc-data-and-figures-pack.csv (116+ rows, status + source per figure) — this workbook's inputs trace to it.</t>
        </is>
      </c>
    </row>
    <row r="4">
      <c r="A4" s="9" t="inlineStr">
        <is>
          <t>Price, BOM, path costs</t>
        </is>
      </c>
      <c r="B4" s="17" t="inlineStr">
        <is>
          <t>Verified from invoices (Defy/DNA Steel/Centre Canvas). Path marginal costs modelled from verified inputs.</t>
        </is>
      </c>
    </row>
    <row r="5">
      <c r="A5" s="9" t="inlineStr">
        <is>
          <t>Factory path</t>
        </is>
      </c>
      <c r="B5" s="17" t="inlineStr">
        <is>
          <t>PROVEN: 40 Maningrida Stretch beds (INV-0303) pressed + CNC'd + assembled in-house at the farm. Per-bed cost modelled pending measured actuals.</t>
        </is>
      </c>
    </row>
    <row r="6">
      <c r="A6" s="9" t="inlineStr">
        <is>
          <t>Fixed block $109,500</t>
        </is>
      </c>
      <c r="B6" s="17" t="inlineStr">
        <is>
          <t>GoC Q&amp;A Q1 confirms line by line.</t>
        </is>
      </c>
    </row>
    <row r="7">
      <c r="A7" s="9" t="inlineStr">
        <is>
          <t>Capex</t>
        </is>
      </c>
      <c r="B7" s="17" t="inlineStr">
        <is>
          <t>Central factory $112-222K gross (modelled midpoints, NOT firm quotes). Sunk plant ~$75K evidenced (MVF). Container build $207,450 = Matt Inputs B27.</t>
        </is>
      </c>
    </row>
    <row r="8">
      <c r="A8" s="9" t="inlineStr">
        <is>
          <t>Community wraparound (Pot 2)</t>
        </is>
      </c>
      <c r="B8" s="17" t="inlineStr">
        <is>
          <t>DEWR-derived: bare ~$152K/yr, staffed ~$342K/yr, program $300K/yr. Zeroed in base case; grant-funded, never bed sales.</t>
        </is>
      </c>
    </row>
    <row r="9">
      <c r="A9" s="9" t="inlineStr">
        <is>
          <t>Capital stack</t>
        </is>
      </c>
      <c r="B9" s="17" t="inlineStr">
        <is>
          <t>PLACEHOLDER: SEFA $300K + QBE $400K (debt) + philanthropy $500K (equity). $0 signed match-eligible today. Confirm split + QBE match ratio.</t>
        </is>
      </c>
    </row>
    <row r="10">
      <c r="A10" s="9" t="inlineStr">
        <is>
          <t>Historical base</t>
        </is>
      </c>
      <c r="B10" s="17" t="inlineStr">
        <is>
          <t>Accountant-signed Goods-only carve-out revenue $713,827 (only externally-quotable figure). ~89% grant-funded.</t>
        </is>
      </c>
    </row>
    <row r="11">
      <c r="A11" s="9" t="inlineStr">
        <is>
          <t>Caveats</t>
        </is>
      </c>
      <c r="B11" s="17" t="inlineStr">
        <is>
          <t>Xero-mirror workpaper, NOT accountant-reviewed statutory accounts. Capex not firm-quoted. Two pots never cross-subsidise on paper.</t>
        </is>
      </c>
    </row>
    <row r="12">
      <c r="A12" s="9" t="inlineStr">
        <is>
          <t>Model conventions</t>
        </is>
      </c>
      <c r="B12" s="17" t="inlineStr">
        <is>
          <t>Accrual P&amp;L; capex capitalised + straight-line depreciated (full year in year of acquisition); loss carry-forward tax; debt interest-only in the 5-yr window; over-capitalised base case builds idle cash (runway).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2026-07-23T00:07:12Z</dcterms:created>
  <dcterms:modified xmlns:dcterms="http://purl.org/dc/terms/" xmlns:xsi="http://www.w3.org/2001/XMLSchema-instance" xsi:type="dcterms:W3CDTF">2026-07-23T00:07:12Z</dcterms:modified>
</cp:coreProperties>
</file>