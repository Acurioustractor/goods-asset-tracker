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▶ Pla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Parts" sheetId="4" state="visible" r:id="rId4"/>
    <sheet xmlns:r="http://schemas.openxmlformats.org/officeDocument/2006/relationships" name="Fixed block" sheetId="5" state="visible" r:id="rId5"/>
    <sheet xmlns:r="http://schemas.openxmlformats.org/officeDocument/2006/relationships" name="Easy-to-forget" sheetId="6" state="visible" r:id="rId6"/>
    <sheet xmlns:r="http://schemas.openxmlformats.org/officeDocument/2006/relationships" name="Capital c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 &quot;yrs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B7280"/>
      <sz val="9"/>
    </font>
    <font>
      <name val="Calibri"/>
      <b val="1"/>
      <color rgb="001A1A1A"/>
      <sz val="13"/>
    </font>
    <font>
      <name val="Calibri"/>
      <color rgb="001A1A1A"/>
      <sz val="11"/>
    </font>
    <font>
      <name val="Calibri"/>
      <b val="1"/>
      <color rgb="007A5C00"/>
      <sz val="11"/>
    </font>
    <font>
      <name val="Calibri"/>
      <b val="1"/>
      <color rgb="001A1A1A"/>
      <sz val="11"/>
    </font>
    <font>
      <name val="Calibri"/>
      <b val="1"/>
      <color rgb="001A1A1A"/>
      <sz val="12"/>
    </font>
    <font>
      <name val="Calibri"/>
      <b val="1"/>
      <color rgb="002E7D32"/>
      <sz val="14"/>
    </font>
    <font>
      <name val="Calibri"/>
      <i val="1"/>
      <color rgb="001A1A1A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F3F4F6"/>
      </patternFill>
    </fill>
    <fill>
      <patternFill patternType="solid">
        <fgColor rgb="00E8F5E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0" borderId="0" pivotButton="0" quotePrefix="0" xfId="0"/>
    <xf numFmtId="0" fontId="4" fillId="0" borderId="0" pivotButton="0" quotePrefix="0" xfId="0"/>
    <xf numFmtId="3" fontId="5" fillId="3" borderId="1" applyAlignment="1" pivotButton="0" quotePrefix="0" xfId="0">
      <alignment horizontal="right"/>
    </xf>
    <xf numFmtId="0" fontId="2" fillId="0" borderId="0" pivotButton="0" quotePrefix="0" xfId="0"/>
    <xf numFmtId="164" fontId="4" fillId="4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164" fontId="7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6" borderId="0" applyAlignment="1" pivotButton="0" quotePrefix="0" xfId="0">
      <alignment vertical="top" wrapText="1"/>
    </xf>
    <xf numFmtId="0" fontId="10" fillId="0" borderId="0" pivotButton="0" quotePrefix="0" xfId="0"/>
    <xf numFmtId="0" fontId="10" fillId="2" borderId="1" applyAlignment="1" pivotButton="0" quotePrefix="0" xfId="0">
      <alignment horizontal="center"/>
    </xf>
    <xf numFmtId="3" fontId="7" fillId="4" borderId="1" applyAlignment="1" pivotButton="0" quotePrefix="0" xfId="0">
      <alignment horizontal="right"/>
    </xf>
    <xf numFmtId="164" fontId="8" fillId="5" borderId="1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6" fillId="4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2" fillId="0" borderId="1" pivotButton="0" quotePrefix="0" xfId="0"/>
    <xf numFmtId="165" fontId="7" fillId="0" borderId="0" pivotButton="0" quotePrefix="0" xfId="0"/>
    <xf numFmtId="164" fontId="4" fillId="0" borderId="0" pivotButton="0" quotePrefix="0" xfId="0"/>
    <xf numFmtId="164" fontId="7" fillId="0" borderId="0" pivotButton="0" quotePrefix="0" xfId="0"/>
    <xf numFmtId="0" fontId="2" fillId="0" borderId="0" applyAlignment="1" pivotButton="0" quotePrefix="0" xfId="0">
      <alignment wrapText="1"/>
    </xf>
    <xf numFmtId="165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3" fontId="5" fillId="3" borderId="1" pivotButton="0" quotePrefix="0" xfId="0"/>
    <xf numFmtId="166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4" customHeight="1">
      <c r="A1" s="1" t="inlineStr">
        <is>
          <t>Goods on Country — cost per bed, made simple</t>
        </is>
      </c>
    </row>
    <row r="2">
      <c r="A2" s="2" t="inlineStr">
        <is>
          <t>v1 · 2026-06-02 · the numbers tie to the website cost model (/admin/cost-model)</t>
        </is>
      </c>
    </row>
    <row r="4">
      <c r="B4" t="inlineStr"/>
    </row>
    <row r="5">
      <c r="B5" s="3" t="inlineStr">
        <is>
          <t>The one idea</t>
        </is>
      </c>
    </row>
    <row r="6">
      <c r="B6" s="4" t="inlineStr">
        <is>
          <t>There are TWO different questions hiding inside "what does a bed cost?"</t>
        </is>
      </c>
    </row>
    <row r="7">
      <c r="B7" s="4" t="inlineStr">
        <is>
          <t xml:space="preserve">  1. What does it cost to make ONE MORE bed?  (the honest number — call it MARGINAL)</t>
        </is>
      </c>
    </row>
    <row r="8">
      <c r="B8" s="4" t="inlineStr">
        <is>
          <t xml:space="preserve">  2. What does it cost to run the whole little operation, divided by how few beds we make this year?</t>
        </is>
      </c>
    </row>
    <row r="9">
      <c r="B9" s="4" t="inlineStr">
        <is>
          <t xml:space="preserve">     (this is where the scary "$1,900 a bed" comes from — it is just fixed costs ÷ too few beds)</t>
        </is>
      </c>
    </row>
    <row r="10">
      <c r="B10" s="4" t="inlineStr"/>
    </row>
    <row r="11">
      <c r="B11" s="4" t="inlineStr">
        <is>
          <t>Lead with the marginal number. Treat the fixed running costs as a yearly block to fund, not a per-bed tax.</t>
        </is>
      </c>
    </row>
    <row r="12">
      <c r="B12" t="inlineStr"/>
    </row>
    <row r="13">
      <c r="B13" s="3" t="inlineStr">
        <is>
          <t>How to use this workbook</t>
        </is>
      </c>
    </row>
    <row r="14">
      <c r="B14" s="4" t="inlineStr">
        <is>
          <t>• Go to the ▶ Play tab. Change ONLY the yellow cells. Everything else recomputes.</t>
        </is>
      </c>
    </row>
    <row r="15">
      <c r="B15" s="4" t="inlineStr">
        <is>
          <t>• The big green answers update live. The plain-English sentence at the bottom rewrites itself —</t>
        </is>
      </c>
    </row>
    <row r="16">
      <c r="B16" s="4" t="inlineStr">
        <is>
          <t xml:space="preserve">  that sentence is the thing you read aloud to a funder.</t>
        </is>
      </c>
    </row>
    <row r="17">
      <c r="B17" s="4" t="inlineStr">
        <is>
          <t>• Parts / Fixed block / Easy-to-forget / Capital case are the detail behind the Play tab.</t>
        </is>
      </c>
    </row>
    <row r="18">
      <c r="B18" t="inlineStr"/>
    </row>
    <row r="19">
      <c r="B19" s="3" t="inlineStr">
        <is>
          <t>The three numbers that matter</t>
        </is>
      </c>
    </row>
    <row r="20">
      <c r="B20" s="4" t="inlineStr">
        <is>
          <t>• MARGINAL today  ≈ $685/bed   (we BUY finished recycled-plastic legs from Defy at $344)</t>
        </is>
      </c>
    </row>
    <row r="21">
      <c r="B21" s="4" t="inlineStr">
        <is>
          <t>• MARGINAL in-sourced ≈ $426/bed   (we MAKE the legs ourselves for ~$150 — saves ~$194/bed)</t>
        </is>
      </c>
    </row>
    <row r="22">
      <c r="B22" s="4" t="inlineStr">
        <is>
          <t>• FIXED BLOCK ≈ $109,500/yr   (rent + founder production time + travel + admin) — spread over volume</t>
        </is>
      </c>
    </row>
    <row r="23">
      <c r="B23" t="inlineStr"/>
    </row>
    <row r="24">
      <c r="B24" s="3" t="inlineStr">
        <is>
          <t>Confidence (be honest about this with funders)</t>
        </is>
      </c>
    </row>
    <row r="25">
      <c r="B25" s="4" t="inlineStr">
        <is>
          <t>• VERIFIED from invoices: plastic kit $344.05, steel $27, canvas $93.50, hardware $5.24, $801 Centrecorp sale.</t>
        </is>
      </c>
    </row>
    <row r="26">
      <c r="B26" s="4" t="inlineStr">
        <is>
          <t>• MODELLED: in-house legs $150, freight, founder day-split, overhead allocation.</t>
        </is>
      </c>
    </row>
    <row r="27">
      <c r="B27" s="4" t="inlineStr">
        <is>
          <t>• NOT YET IN THE MODEL (see Easy-to-forget tab): warranty reserve, replacement freight, payment/insurance/audit fees,</t>
        </is>
      </c>
    </row>
    <row r="28">
      <c r="B28" s="4" t="inlineStr">
        <is>
          <t xml:space="preserve">  machine maintenance once in-house. ~$120K of mis-tagged Xero spend still inflates the raw "all-in" figure.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3" customWidth="1" min="4" max="4"/>
    <col width="40" customWidth="1" min="5" max="5"/>
    <col width="16" customWidth="1" min="6" max="6"/>
  </cols>
  <sheetData>
    <row r="1" ht="34" customHeight="1">
      <c r="A1" s="1" t="inlineStr">
        <is>
          <t>▶ Play — change the yellow cells</t>
        </is>
      </c>
    </row>
    <row r="2">
      <c r="A2" s="2" t="inlineStr">
        <is>
          <t>Yellow = your inputs · Grey = computed · Green = the answer</t>
        </is>
      </c>
    </row>
    <row r="4">
      <c r="B4" s="3" t="inlineStr">
        <is>
          <t>YOUR INPUTS</t>
        </is>
      </c>
      <c r="E4" s="3" t="inlineStr">
        <is>
          <t>FIXED RUNNING COSTS (per year)</t>
        </is>
      </c>
    </row>
    <row r="5">
      <c r="B5" s="4" t="inlineStr">
        <is>
          <t>Beds per year</t>
        </is>
      </c>
      <c r="C5" s="5" t="n">
        <v>100</v>
      </c>
      <c r="D5" s="6" t="inlineStr">
        <is>
          <t>try 100 / 500 / 1000</t>
        </is>
      </c>
      <c r="E5" s="4" t="inlineStr">
        <is>
          <t>Founder production time</t>
        </is>
      </c>
      <c r="F5" s="7">
        <f>C10*C11</f>
        <v/>
      </c>
    </row>
    <row r="6">
      <c r="B6" s="4" t="inlineStr">
        <is>
          <t>Sell price per bed</t>
        </is>
      </c>
      <c r="C6" s="8" t="n">
        <v>600</v>
      </c>
      <c r="D6" s="6" t="inlineStr">
        <is>
          <t>$600 gift / $750 shop / $801 inst.</t>
        </is>
      </c>
      <c r="E6" s="4" t="inlineStr">
        <is>
          <t>Workshop rent (Goods share)</t>
        </is>
      </c>
      <c r="F6" s="7">
        <f>'Fixed block'!C6</f>
        <v/>
      </c>
    </row>
    <row r="7">
      <c r="B7" s="4" t="inlineStr">
        <is>
          <t>Plastic legs: BUY or MAKE</t>
        </is>
      </c>
      <c r="C7" s="9" t="inlineStr">
        <is>
          <t>BUY</t>
        </is>
      </c>
      <c r="D7" s="6" t="inlineStr">
        <is>
          <t>BUY=$344 Defy · MAKE=$70+labour</t>
        </is>
      </c>
      <c r="E7" s="4" t="inlineStr">
        <is>
          <t>Field travel to communities</t>
        </is>
      </c>
      <c r="F7" s="7">
        <f>'Fixed block'!C7</f>
        <v/>
      </c>
    </row>
    <row r="8">
      <c r="B8" s="4" t="inlineStr">
        <is>
          <t>Make-it labour /bed (if MAKE)</t>
        </is>
      </c>
      <c r="C8" s="8" t="n">
        <v>80</v>
      </c>
      <c r="D8" s="6" t="inlineStr">
        <is>
          <t>$80 factory · $130 community wage</t>
        </is>
      </c>
      <c r="E8" s="4" t="inlineStr">
        <is>
          <t>Admin / back-office</t>
        </is>
      </c>
      <c r="F8" s="7">
        <f>'Fixed block'!C8</f>
        <v/>
      </c>
    </row>
    <row r="9">
      <c r="B9" s="4" t="inlineStr">
        <is>
          <t>Long-haul freight /bed</t>
        </is>
      </c>
      <c r="C9" s="8" t="n">
        <v>150</v>
      </c>
      <c r="D9" s="6" t="inlineStr">
        <is>
          <t>$150@100/yr → $80@1000/yr</t>
        </is>
      </c>
      <c r="E9" s="10">
        <f> TOTAL fixed block / year</f>
        <v/>
      </c>
      <c r="F9" s="11">
        <f>SUM(F5:F8)</f>
        <v/>
      </c>
    </row>
    <row r="10">
      <c r="B10" s="4" t="inlineStr">
        <is>
          <t>Founder PRODUCTION days/yr</t>
        </is>
      </c>
      <c r="C10" s="5" t="n">
        <v>30</v>
      </c>
      <c r="D10" s="6" t="inlineStr">
        <is>
          <t>of ~150 total — only these touch a bed</t>
        </is>
      </c>
      <c r="E10" s="12" t="inlineStr">
        <is>
          <t>Fixed cost spread per bed</t>
        </is>
      </c>
      <c r="F10" s="7">
        <f>F9/C5</f>
        <v/>
      </c>
    </row>
    <row r="11">
      <c r="B11" s="4" t="inlineStr">
        <is>
          <t>Founder day-rate</t>
        </is>
      </c>
      <c r="C11" s="8" t="n">
        <v>560</v>
      </c>
      <c r="D11" s="6" t="inlineStr">
        <is>
          <t>locked 2026-05-29</t>
        </is>
      </c>
    </row>
    <row r="13">
      <c r="B13" s="3" t="inlineStr">
        <is>
          <t>WHAT ONE BED IS MADE OF</t>
        </is>
      </c>
      <c r="E13" s="3" t="inlineStr">
        <is>
          <t>THE ANSWERS</t>
        </is>
      </c>
    </row>
    <row r="14">
      <c r="B14" s="4" t="inlineStr">
        <is>
          <t>Recycled-plastic legs</t>
        </is>
      </c>
      <c r="C14" s="12">
        <f>IF($C$7="BUY",344.05,70)</f>
        <v/>
      </c>
      <c r="E14" s="10" t="inlineStr">
        <is>
          <t>Marginal cost — one more bed</t>
        </is>
      </c>
      <c r="F14" s="13">
        <f>C21</f>
        <v/>
      </c>
    </row>
    <row r="15">
      <c r="B15" s="4" t="inlineStr">
        <is>
          <t>Steel poles (×2)</t>
        </is>
      </c>
      <c r="C15" s="12">
        <f>Parts!C6</f>
        <v/>
      </c>
      <c r="E15" s="4" t="inlineStr">
        <is>
          <t>Fully-loaded cost / bed  (reference only)</t>
        </is>
      </c>
      <c r="F15" s="12">
        <f>C21+F10</f>
        <v/>
      </c>
    </row>
    <row r="16">
      <c r="B16" s="4" t="inlineStr">
        <is>
          <t>Canvas</t>
        </is>
      </c>
      <c r="C16" s="12">
        <f>Parts!C7</f>
        <v/>
      </c>
      <c r="E16" s="10" t="inlineStr">
        <is>
          <t>Contribution / bed  (price − marginal)</t>
        </is>
      </c>
      <c r="F16" s="14">
        <f>C6-C21</f>
        <v/>
      </c>
    </row>
    <row r="17">
      <c r="B17" s="4" t="inlineStr">
        <is>
          <t>Hardware (caps/screws/bolts)</t>
        </is>
      </c>
      <c r="C17" s="12">
        <f>Parts!C8</f>
        <v/>
      </c>
      <c r="E17" s="10" t="inlineStr">
        <is>
          <t>Breakeven  (beds/yr to cover fixed block)</t>
        </is>
      </c>
      <c r="F17" s="15">
        <f>IF(C16&gt;0,ROUND(F9/C16,0),"never at this price")</f>
        <v/>
      </c>
    </row>
    <row r="18">
      <c r="B18" s="4" t="inlineStr">
        <is>
          <t>Make-it labour</t>
        </is>
      </c>
      <c r="C18" s="12">
        <f>IF($C$7="BUY",65,$C$8)</f>
        <v/>
      </c>
      <c r="E18" s="10" t="inlineStr">
        <is>
          <t>Annual surplus / (shortfall)</t>
        </is>
      </c>
      <c r="F18" s="11">
        <f>C16*C5-F9</f>
        <v/>
      </c>
    </row>
    <row r="19">
      <c r="B19" s="10">
        <f> DIRECT cost / bed</f>
        <v/>
      </c>
      <c r="C19" s="14">
        <f>SUM(C14:C18)</f>
        <v/>
      </c>
    </row>
    <row r="20">
      <c r="B20" s="10" t="inlineStr">
        <is>
          <t>Read this aloud:</t>
        </is>
      </c>
      <c r="C20" s="12">
        <f>C9</f>
        <v/>
      </c>
    </row>
    <row r="21">
      <c r="B21" s="16">
        <f>"One more bed costs about $"&amp;TEXT(C21,"#,##0")&amp;" to make"&amp;IF(C7="BUY"," (we buy the plastic legs)"," (we press our own plastic legs)")&amp;". At $"&amp;TEXT(C6,"#,##0")&amp;"/bed we break even at "&amp;IF(C16&gt;0,TEXT(ROUND(F9/C16,0),"#,##0")&amp;" beds a year","— we cannot break even at this price")&amp;". At "&amp;TEXT(C5,"#,##0")&amp;" beds/yr we run a "&amp;IF(C16*C5-F9&gt;=0,"surplus","shortfall")&amp;" of $"&amp;TEXT(ABS(C16*C5-F9),"#,##0")&amp;" a year"&amp;IF(C16*C5-F9&lt;0," — philanthropy bridges that gap.",".")</f>
        <v/>
      </c>
    </row>
    <row r="22"/>
    <row r="23"/>
    <row r="25">
      <c r="B25" s="6" t="inlineStr">
        <is>
          <t>Tip: set BUY + 100 beds + $600 to see today's reality; set MAKE + 500 beds + $750 to see the in-sourced target.</t>
        </is>
      </c>
    </row>
  </sheetData>
  <mergeCells count="3">
    <mergeCell ref="A2:F2"/>
    <mergeCell ref="A1:F1"/>
    <mergeCell ref="B21:F23"/>
  </mergeCells>
  <dataValidations count="1">
    <dataValidation sqref="C7" showDropDown="0" showInputMessage="0" showErrorMessage="0" allowBlank="0" type="list">
      <formula1>"BUY,MAKE"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1" t="inlineStr">
        <is>
          <t>Scenarios — the journey, side by side</t>
        </is>
      </c>
    </row>
    <row r="2">
      <c r="A2" s="2" t="inlineStr">
        <is>
          <t>Each column is its own little model. Change the yellow cells in any column and compare.</t>
        </is>
      </c>
    </row>
    <row r="4">
      <c r="A4" s="17" t="inlineStr"/>
      <c r="B4" s="17" t="inlineStr"/>
      <c r="C4" s="18" t="inlineStr">
        <is>
          <t>① Today (buy kits)</t>
        </is>
      </c>
      <c r="D4" s="18" t="inlineStr">
        <is>
          <t>② In-sourced @500</t>
        </is>
      </c>
      <c r="E4" s="18" t="inlineStr">
        <is>
          <t>③ Community @1,000 (fair wage)</t>
        </is>
      </c>
    </row>
    <row r="5">
      <c r="B5" s="3" t="inlineStr">
        <is>
          <t>INPUTS (change me)</t>
        </is>
      </c>
    </row>
    <row r="6">
      <c r="B6" s="4" t="inlineStr">
        <is>
          <t>Plastic legs: BUY / MAKE</t>
        </is>
      </c>
      <c r="C6" s="9" t="inlineStr">
        <is>
          <t>BUY</t>
        </is>
      </c>
      <c r="D6" s="9" t="inlineStr">
        <is>
          <t>MAKE</t>
        </is>
      </c>
      <c r="E6" s="9" t="inlineStr">
        <is>
          <t>MAKE</t>
        </is>
      </c>
    </row>
    <row r="7">
      <c r="B7" s="4" t="inlineStr">
        <is>
          <t>Beds per year</t>
        </is>
      </c>
      <c r="C7" s="5" t="n">
        <v>100</v>
      </c>
      <c r="D7" s="5" t="n">
        <v>500</v>
      </c>
      <c r="E7" s="5" t="n">
        <v>1000</v>
      </c>
    </row>
    <row r="8">
      <c r="B8" s="4" t="inlineStr">
        <is>
          <t>Sell price per bed</t>
        </is>
      </c>
      <c r="C8" s="8" t="n">
        <v>600</v>
      </c>
      <c r="D8" s="8" t="n">
        <v>750</v>
      </c>
      <c r="E8" s="8" t="n">
        <v>750</v>
      </c>
    </row>
    <row r="9">
      <c r="B9" s="4" t="inlineStr">
        <is>
          <t>Make-it labour /bed (if MAKE)</t>
        </is>
      </c>
      <c r="C9" s="8" t="n">
        <v>80</v>
      </c>
      <c r="D9" s="8" t="n">
        <v>80</v>
      </c>
      <c r="E9" s="8" t="n">
        <v>130</v>
      </c>
      <c r="F9" s="6" t="inlineStr">
        <is>
          <t>$80 factory · $130 dignified community wage</t>
        </is>
      </c>
    </row>
    <row r="10">
      <c r="B10" s="4" t="inlineStr">
        <is>
          <t>Long-haul freight /bed</t>
        </is>
      </c>
      <c r="C10" s="8" t="n">
        <v>150</v>
      </c>
      <c r="D10" s="8" t="n">
        <v>100</v>
      </c>
      <c r="E10" s="8" t="n">
        <v>80</v>
      </c>
      <c r="F10" s="6" t="inlineStr">
        <is>
          <t>falls as pallets fill at volume</t>
        </is>
      </c>
    </row>
    <row r="11">
      <c r="B11" s="4" t="inlineStr">
        <is>
          <t>Founder PRODUCTION days/yr</t>
        </is>
      </c>
      <c r="C11" s="5" t="n">
        <v>30</v>
      </c>
      <c r="D11" s="5" t="n">
        <v>30</v>
      </c>
      <c r="E11" s="5" t="n">
        <v>30</v>
      </c>
    </row>
    <row r="12">
      <c r="B12" s="4" t="inlineStr">
        <is>
          <t>Founder day-rate</t>
        </is>
      </c>
      <c r="C12" s="8" t="n">
        <v>560</v>
      </c>
      <c r="D12" s="8" t="n">
        <v>560</v>
      </c>
      <c r="E12" s="8" t="n">
        <v>560</v>
      </c>
    </row>
    <row r="13">
      <c r="B13" s="4" t="inlineStr">
        <is>
          <t>Fixed block / year</t>
        </is>
      </c>
      <c r="C13" s="7">
        <f>C11*C12+27000+51000+14700</f>
        <v/>
      </c>
      <c r="D13" s="7">
        <f>D11*D12+27000+51000+14700</f>
        <v/>
      </c>
      <c r="E13" s="7">
        <f>E11*E12+27000+51000+14700</f>
        <v/>
      </c>
    </row>
    <row r="14">
      <c r="B14" s="3" t="inlineStr">
        <is>
          <t>RESULTS</t>
        </is>
      </c>
    </row>
    <row r="15">
      <c r="B15" s="4" t="inlineStr">
        <is>
          <t>Direct cost / bed</t>
        </is>
      </c>
      <c r="C15" s="12">
        <f>IF(C6="BUY",344.05,70)+27+93.5+5.24+IF(C6="BUY",65,C9)</f>
        <v/>
      </c>
      <c r="D15" s="12">
        <f>IF(D6="BUY",344.05,70)+27+93.5+5.24+IF(D6="BUY",65,D9)</f>
        <v/>
      </c>
      <c r="E15" s="12">
        <f>IF(E6="BUY",344.05,70)+27+93.5+5.24+IF(E6="BUY",65,E9)</f>
        <v/>
      </c>
    </row>
    <row r="16">
      <c r="B16" s="10" t="inlineStr">
        <is>
          <t>Marginal cost / bed (one more bed)</t>
        </is>
      </c>
      <c r="C16" s="14">
        <f>C15+C10</f>
        <v/>
      </c>
      <c r="D16" s="14">
        <f>D15+D10</f>
        <v/>
      </c>
      <c r="E16" s="14">
        <f>E15+E10</f>
        <v/>
      </c>
    </row>
    <row r="17">
      <c r="B17" s="4" t="inlineStr">
        <is>
          <t>Fully-loaded / bed (reference only)</t>
        </is>
      </c>
      <c r="C17" s="12">
        <f>C16+C13/C7</f>
        <v/>
      </c>
      <c r="D17" s="12">
        <f>D16+D13/D7</f>
        <v/>
      </c>
      <c r="E17" s="12">
        <f>E16+E13/E7</f>
        <v/>
      </c>
    </row>
    <row r="18">
      <c r="B18" s="10" t="inlineStr">
        <is>
          <t>Contribution / bed (price − marginal)</t>
        </is>
      </c>
      <c r="C18" s="14">
        <f>C8-C16</f>
        <v/>
      </c>
      <c r="D18" s="14">
        <f>D8-D16</f>
        <v/>
      </c>
      <c r="E18" s="14">
        <f>E8-E16</f>
        <v/>
      </c>
    </row>
    <row r="19">
      <c r="B19" s="10" t="inlineStr">
        <is>
          <t>Breakeven (beds/yr)</t>
        </is>
      </c>
      <c r="C19" s="19">
        <f>IF(C18&gt;0,ROUND(C13/C18,0),"never at this price")</f>
        <v/>
      </c>
      <c r="D19" s="19">
        <f>IF(D18&gt;0,ROUND(D13/D18,0),"never at this price")</f>
        <v/>
      </c>
      <c r="E19" s="19">
        <f>IF(E18&gt;0,ROUND(E13/E18,0),"never at this price")</f>
        <v/>
      </c>
    </row>
    <row r="20">
      <c r="B20" s="10" t="inlineStr">
        <is>
          <t>Annual surplus / (shortfall)</t>
        </is>
      </c>
      <c r="C20" s="20">
        <f>C18*C7-C13</f>
        <v/>
      </c>
      <c r="D20" s="20">
        <f>D18*D7-D13</f>
        <v/>
      </c>
      <c r="E20" s="20">
        <f>E18*E7-E13</f>
        <v/>
      </c>
    </row>
    <row r="22">
      <c r="B22" s="10" t="inlineStr">
        <is>
          <t>What each column says</t>
        </is>
      </c>
    </row>
    <row r="23" ht="52" customHeight="1">
      <c r="C23" s="21" t="inlineStr">
        <is>
          <t>Buying kits at $600, we lose money on every bed — can't break even at any volume.</t>
        </is>
      </c>
      <c r="D23" s="21" t="inlineStr">
        <is>
          <t>Press our own legs + hit 500 beds at $750 → we run a real surplus.</t>
        </is>
      </c>
      <c r="E23" s="21" t="inlineStr">
        <is>
          <t>Even paying the full $130 community wage, scale makes it strongly profitable.</t>
        </is>
      </c>
    </row>
  </sheetData>
  <mergeCells count="2">
    <mergeCell ref="A2:E2"/>
    <mergeCell ref="A1:E1"/>
  </mergeCells>
  <dataValidations count="1">
    <dataValidation sqref="C6 D6 E6" showDropDown="0" showInputMessage="0" showErrorMessage="0" allowBlank="0" type="list">
      <formula1>"BUY,MAKE"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34" customHeight="1">
      <c r="A1" s="1" t="inlineStr">
        <is>
          <t>Parts — the bill of materials</t>
        </is>
      </c>
    </row>
    <row r="2">
      <c r="A2" s="2" t="inlineStr">
        <is>
          <t>Verified from invoices unless noted. Change C only with a new supplier quote.</t>
        </is>
      </c>
    </row>
    <row r="4">
      <c r="A4" s="22" t="inlineStr"/>
      <c r="B4" s="22" t="inlineStr">
        <is>
          <t>Line</t>
        </is>
      </c>
      <c r="C4" s="22" t="inlineStr">
        <is>
          <t>BUY $/bed</t>
        </is>
      </c>
      <c r="D4" s="22" t="inlineStr">
        <is>
          <t>MAKE $/bed</t>
        </is>
      </c>
      <c r="E4" s="22" t="inlineStr">
        <is>
          <t>Confidence</t>
        </is>
      </c>
      <c r="F4" s="22" t="inlineStr">
        <is>
          <t>Source</t>
        </is>
      </c>
    </row>
    <row r="5">
      <c r="B5" s="23" t="inlineStr">
        <is>
          <t>Recycled-plastic legs (20kg HDPE)</t>
        </is>
      </c>
      <c r="C5" s="24" t="n">
        <v>344.05</v>
      </c>
      <c r="D5" s="24" t="n">
        <v>70</v>
      </c>
      <c r="E5" s="25" t="inlineStr">
        <is>
          <t>verified / modelled</t>
        </is>
      </c>
      <c r="F5" s="25" t="inlineStr">
        <is>
          <t>Defy INV-1602/1732 · MAKE=shred $55+diesel $15</t>
        </is>
      </c>
    </row>
    <row r="6">
      <c r="B6" s="23" t="inlineStr">
        <is>
          <t>Galvanised steel poles (×2)</t>
        </is>
      </c>
      <c r="C6" s="24" t="n">
        <v>27</v>
      </c>
      <c r="D6" s="24" t="n">
        <v>27</v>
      </c>
      <c r="E6" s="25" t="inlineStr">
        <is>
          <t>verified</t>
        </is>
      </c>
      <c r="F6" s="25" t="inlineStr">
        <is>
          <t>DNA Steel, Notion BOM</t>
        </is>
      </c>
    </row>
    <row r="7">
      <c r="B7" s="23" t="inlineStr">
        <is>
          <t>Canvas sleeping surface</t>
        </is>
      </c>
      <c r="C7" s="24" t="n">
        <v>93.5</v>
      </c>
      <c r="D7" s="24" t="n">
        <v>93.5</v>
      </c>
      <c r="E7" s="25" t="inlineStr">
        <is>
          <t>verified</t>
        </is>
      </c>
      <c r="F7" s="25" t="inlineStr">
        <is>
          <t>Centre Canvas, 3 invoices</t>
        </is>
      </c>
    </row>
    <row r="8">
      <c r="B8" s="23" t="inlineStr">
        <is>
          <t>Hardware (4 caps, 16 screws, 2 bolts)</t>
        </is>
      </c>
      <c r="C8" s="24" t="n">
        <v>5.24</v>
      </c>
      <c r="D8" s="24" t="n">
        <v>5.24</v>
      </c>
      <c r="E8" s="25" t="inlineStr">
        <is>
          <t>verified/inferred</t>
        </is>
      </c>
      <c r="F8" s="25" t="inlineStr">
        <is>
          <t>Coastal Fasteners; bolt rate inferred</t>
        </is>
      </c>
    </row>
    <row r="9">
      <c r="B9" s="10" t="inlineStr">
        <is>
          <t>Parts subtotal (materials only)</t>
        </is>
      </c>
      <c r="C9" s="26">
        <f>SUM(C5:C8)</f>
        <v/>
      </c>
      <c r="D9" s="26">
        <f>SUM(D5:D8)</f>
        <v/>
      </c>
    </row>
    <row r="11">
      <c r="B11" s="6" t="inlineStr">
        <is>
          <t>First-principles raw floor: $128.99/bed. The gap to $469.79 is supply-chain markup — ~$289 of it the plastic kit alone (idiot index 8.6× vs $40 shred floor).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40" customWidth="1" min="4" max="4"/>
    <col width="4" customWidth="1" min="5" max="5"/>
    <col width="4" customWidth="1" min="6" max="6"/>
  </cols>
  <sheetData>
    <row r="1" ht="34" customHeight="1">
      <c r="A1" s="1" t="inlineStr">
        <is>
          <t>Fixed block — running the business, per year</t>
        </is>
      </c>
    </row>
    <row r="2">
      <c r="A2" s="2" t="inlineStr">
        <is>
          <t>These do NOT change per bed. The Play tab divides this by your chosen volume.</t>
        </is>
      </c>
    </row>
    <row r="4">
      <c r="B4" s="10" t="inlineStr">
        <is>
          <t>Cost</t>
        </is>
      </c>
      <c r="C4" s="10" t="inlineStr">
        <is>
          <t>$/year</t>
        </is>
      </c>
      <c r="D4" s="10" t="inlineStr">
        <is>
          <t>Basis / to confirm</t>
        </is>
      </c>
    </row>
    <row r="5">
      <c r="B5" s="4" t="inlineStr">
        <is>
          <t>Founder production time (links to Play C10×C11)</t>
        </is>
      </c>
      <c r="C5" s="27">
        <f>'▶ Play'!C10*'▶ Play'!C11</f>
        <v/>
      </c>
      <c r="D5" s="6" t="inlineStr">
        <is>
          <t>30 of 150 days × $560 — FOUNDER-CONFIRM the split</t>
        </is>
      </c>
    </row>
    <row r="6">
      <c r="B6" s="4" t="inlineStr">
        <is>
          <t>Workshop rent (Goods share, 50% of Kirmos)</t>
        </is>
      </c>
      <c r="C6" s="27" t="n">
        <v>27000</v>
      </c>
      <c r="D6" s="6" t="inlineStr">
        <is>
          <t>$4,500/mo verified; 50%-to-beds est — confirm w/ Nic</t>
        </is>
      </c>
    </row>
    <row r="7">
      <c r="B7" s="4" t="inlineStr">
        <is>
          <t>Field travel to communities</t>
        </is>
      </c>
      <c r="C7" s="27" t="n">
        <v>51000</v>
      </c>
      <c r="D7" s="6" t="inlineStr">
        <is>
          <t>Largest line; anchored by $24,507 Utopia trip</t>
        </is>
      </c>
    </row>
    <row r="8">
      <c r="B8" s="4" t="inlineStr">
        <is>
          <t>Admin / back-office</t>
        </is>
      </c>
      <c r="C8" s="27" t="n">
        <v>14700</v>
      </c>
      <c r="D8" s="6" t="inlineStr">
        <is>
          <t>v5/v6 figure, not yet itemised</t>
        </is>
      </c>
    </row>
    <row r="9">
      <c r="B9" s="10" t="inlineStr">
        <is>
          <t>TOTAL fixed block / year</t>
        </is>
      </c>
      <c r="C9" s="28">
        <f>SUM(C5:C8)</f>
        <v/>
      </c>
    </row>
    <row r="11">
      <c r="B11" s="29" t="inlineStr">
        <is>
          <t>DELIBERATELY EXCLUDED: the other ~120 founder days (fundraising, commercial, governance) — they are how we raise capital and win orders, not a cost of building a bed. Putting them on the bed is what creates the fake "$840 of founder time per bed."</t>
        </is>
      </c>
    </row>
    <row r="12"/>
    <row r="13"/>
  </sheetData>
  <mergeCells count="3">
    <mergeCell ref="A2:F2"/>
    <mergeCell ref="A1:F1"/>
    <mergeCell ref="B11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6" customWidth="1" min="4" max="4"/>
    <col width="44" customWidth="1" min="5" max="5"/>
    <col width="4" customWidth="1" min="6" max="6"/>
  </cols>
  <sheetData>
    <row r="1" ht="34" customHeight="1">
      <c r="A1" s="1" t="inlineStr">
        <is>
          <t>Easy-to-forget — reserves &amp; fees we have NOT modelled</t>
        </is>
      </c>
    </row>
    <row r="2">
      <c r="A2" s="2" t="inlineStr">
        <is>
          <t>Toggle these into the marginal cost to see the honest sensitivity. Most are placeholders until quoted.</t>
        </is>
      </c>
    </row>
    <row r="4">
      <c r="B4" s="10" t="inlineStr">
        <is>
          <t>Cost</t>
        </is>
      </c>
      <c r="C4" s="10" t="inlineStr">
        <is>
          <t>Rate / amount</t>
        </is>
      </c>
      <c r="D4" s="10" t="inlineStr">
        <is>
          <t>$/bed (approx)</t>
        </is>
      </c>
      <c r="E4" s="10" t="inlineStr">
        <is>
          <t>Why it matters</t>
        </is>
      </c>
    </row>
    <row r="5">
      <c r="B5" s="4" t="inlineStr">
        <is>
          <t>Warranty / replacement reserve</t>
        </is>
      </c>
      <c r="C5" s="6" t="inlineStr">
        <is>
          <t>4% of parts</t>
        </is>
      </c>
      <c r="D5" s="30">
        <f>0.04*Parts!C9</f>
        <v/>
      </c>
      <c r="E5" s="6" t="inlineStr">
        <is>
          <t>5-yr warranty to remote communities; no reserve carried today</t>
        </is>
      </c>
    </row>
    <row r="6">
      <c r="B6" s="4" t="inlineStr">
        <is>
          <t>Payment processing (direct web sales)</t>
        </is>
      </c>
      <c r="C6" s="6" t="inlineStr">
        <is>
          <t>~2% of price</t>
        </is>
      </c>
      <c r="D6" s="30">
        <f>0.02*'▶ Play'!C6</f>
        <v/>
      </c>
      <c r="E6" s="6" t="inlineStr">
        <is>
          <t>Stripe ~1.75%+$0.30; not on grant invoices</t>
        </is>
      </c>
    </row>
    <row r="7">
      <c r="B7" s="4" t="inlineStr">
        <is>
          <t>Replacement freight (per warranty event)</t>
        </is>
      </c>
      <c r="C7" s="6" t="inlineStr">
        <is>
          <t>$150–300 event</t>
        </is>
      </c>
      <c r="D7" s="6" t="inlineStr">
        <is>
          <t>—</t>
        </is>
      </c>
      <c r="E7" s="6" t="inlineStr">
        <is>
          <t>A swap pays remote freight AGAIN — brutal logistics</t>
        </is>
      </c>
    </row>
    <row r="8">
      <c r="B8" s="4" t="inlineStr">
        <is>
          <t>Insurance (liability/product)</t>
        </is>
      </c>
      <c r="C8" s="6" t="inlineStr">
        <is>
          <t>quote needed</t>
        </is>
      </c>
      <c r="D8" s="6" t="inlineStr">
        <is>
          <t>—</t>
        </is>
      </c>
      <c r="E8" s="6" t="inlineStr">
        <is>
          <t>Buried in whole-org $1.66M block; no Goods-only figure</t>
        </is>
      </c>
    </row>
    <row r="9">
      <c r="B9" s="4" t="inlineStr">
        <is>
          <t>Accounting / external audit</t>
        </is>
      </c>
      <c r="C9" s="6" t="inlineStr">
        <is>
          <t>quote needed</t>
        </is>
      </c>
      <c r="D9" s="6" t="inlineStr">
        <is>
          <t>—</t>
        </is>
      </c>
      <c r="E9" s="6" t="inlineStr">
        <is>
          <t>Numbers currently unaudited; real if investors require reliance</t>
        </is>
      </c>
    </row>
    <row r="10">
      <c r="B10" s="4" t="inlineStr">
        <is>
          <t>Machine maintenance/downtime (MAKE path)</t>
        </is>
      </c>
      <c r="C10" s="6" t="inlineStr">
        <is>
          <t>% of capex</t>
        </is>
      </c>
      <c r="D10" s="6" t="inlineStr">
        <is>
          <t>—</t>
        </is>
      </c>
      <c r="E10" s="6" t="inlineStr">
        <is>
          <t>In-house legs $150 ignore upkeep + capital recovery</t>
        </is>
      </c>
    </row>
    <row r="11">
      <c r="B11" s="4" t="inlineStr">
        <is>
          <t>Community plastic collect/wash/sort</t>
        </is>
      </c>
      <c r="C11" s="6" t="inlineStr">
        <is>
          <t>$28–100/bed</t>
        </is>
      </c>
      <c r="D11" s="6" t="inlineStr">
        <is>
          <t>—</t>
        </is>
      </c>
      <c r="E11" s="6" t="inlineStr">
        <is>
          <t>'Free' plastic still costs labour to make usable</t>
        </is>
      </c>
    </row>
    <row r="13">
      <c r="B13" s="10" t="inlineStr">
        <is>
          <t>Modelled add to marginal (warranty + payment):</t>
        </is>
      </c>
      <c r="D13" s="26">
        <f>D5+D6</f>
        <v/>
      </c>
    </row>
    <row r="14">
      <c r="B14" s="29" t="inlineStr">
        <is>
          <t>Honest marginal WITH these in = Play marginal + the line above. The rest are real but un-quoted — show them as a list so no one forgets, even before we have firm numbers.</t>
        </is>
      </c>
    </row>
    <row r="15"/>
  </sheetData>
  <mergeCells count="3">
    <mergeCell ref="A2:F2"/>
    <mergeCell ref="B14:E15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44" customWidth="1" min="4" max="4"/>
    <col width="4" customWidth="1" min="5" max="5"/>
    <col width="4" customWidth="1" min="6" max="6"/>
  </cols>
  <sheetData>
    <row r="1" ht="34" customHeight="1">
      <c r="A1" s="1" t="inlineStr">
        <is>
          <t>Capital case — why we ask for the plastic-processing kit</t>
        </is>
      </c>
    </row>
    <row r="2">
      <c r="A2" s="2" t="inlineStr">
        <is>
          <t>The whole capex story in one screen: per-bed legs saving × volume vs the machine cost.</t>
        </is>
      </c>
    </row>
    <row r="4">
      <c r="B4" s="3" t="inlineStr">
        <is>
          <t>INPUTS</t>
        </is>
      </c>
    </row>
    <row r="5">
      <c r="B5" s="4" t="inlineStr">
        <is>
          <t>Gross capex (machines)</t>
        </is>
      </c>
      <c r="C5" s="31" t="n">
        <v>167000</v>
      </c>
      <c r="D5" s="6" t="inlineStr">
        <is>
          <t>band $112K–$222K</t>
        </is>
      </c>
    </row>
    <row r="6">
      <c r="B6" s="4" t="inlineStr">
        <is>
          <t>Already invested</t>
        </is>
      </c>
      <c r="C6" s="31" t="n">
        <v>110046</v>
      </c>
    </row>
    <row r="7">
      <c r="B7" s="4" t="inlineStr">
        <is>
          <t>Saving per bed (buy $344 → make $150)</t>
        </is>
      </c>
      <c r="C7" s="32" t="n">
        <v>194.05</v>
      </c>
    </row>
    <row r="8">
      <c r="B8" s="4" t="inlineStr">
        <is>
          <t>Committed beds / year</t>
        </is>
      </c>
      <c r="C8" s="33" t="n">
        <v>500</v>
      </c>
    </row>
    <row r="10">
      <c r="B10" s="3" t="inlineStr">
        <is>
          <t>ANSWERS</t>
        </is>
      </c>
    </row>
    <row r="11">
      <c r="B11" s="10" t="inlineStr">
        <is>
          <t>Net capital ask</t>
        </is>
      </c>
      <c r="C11" s="28">
        <f>C5-C6</f>
        <v/>
      </c>
    </row>
    <row r="12">
      <c r="B12" s="10" t="inlineStr">
        <is>
          <t>Annual saving from in-sourcing legs</t>
        </is>
      </c>
      <c r="C12" s="28">
        <f>C7*C8</f>
        <v/>
      </c>
    </row>
    <row r="13">
      <c r="B13" s="10" t="inlineStr">
        <is>
          <t>Payback (years on gross capex)</t>
        </is>
      </c>
      <c r="C13" s="34">
        <f>C5/(C7*C8)</f>
        <v/>
      </c>
    </row>
    <row r="14">
      <c r="B14" s="10" t="inlineStr">
        <is>
          <t>Volume reality check</t>
        </is>
      </c>
      <c r="C14" s="10">
        <f>IF(C8&lt;300,"⚠ below 300/yr — capex not yet justified","✓ volume supports the capex")</f>
        <v/>
      </c>
    </row>
    <row r="16">
      <c r="B16" s="29" t="inlineStr">
        <is>
          <t>The line that matters: at ~500 beds/yr the kit pays for itself in under 2 years, then every bed keeps ~$194 of value (and the jobs) on-country instead of paying Defy's margin.</t>
        </is>
      </c>
    </row>
    <row r="17"/>
    <row r="18"/>
  </sheetData>
  <mergeCells count="3">
    <mergeCell ref="A2:F2"/>
    <mergeCell ref="B16:D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2026-06-02T03:13:25Z</dcterms:created>
  <dcterms:modified xmlns:dcterms="http://purl.org/dc/terms/" xmlns:xsi="http://www.w3.org/2001/XMLSchema-instance" xsi:type="dcterms:W3CDTF">2026-06-02T03:13:25Z</dcterms:modified>
</cp:coreProperties>
</file>