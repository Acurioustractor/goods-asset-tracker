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One bed" sheetId="3" state="visible" r:id="rId3"/>
    <sheet xmlns:r="http://schemas.openxmlformats.org/officeDocument/2006/relationships" name="The plant" sheetId="4" state="visible" r:id="rId4"/>
    <sheet xmlns:r="http://schemas.openxmlformats.org/officeDocument/2006/relationships" name="Capacity" sheetId="5" state="visible" r:id="rId5"/>
    <sheet xmlns:r="http://schemas.openxmlformats.org/officeDocument/2006/relationships" name="Impact" sheetId="6" state="visible" r:id="rId6"/>
    <sheet xmlns:r="http://schemas.openxmlformats.org/officeDocument/2006/relationships" name="Asks" sheetId="7" state="visible" r:id="rId7"/>
    <sheet xmlns:r="http://schemas.openxmlformats.org/officeDocument/2006/relationships" name="Cases" sheetId="8" state="visible" r:id="rId8"/>
    <sheet xmlns:r="http://schemas.openxmlformats.org/officeDocument/2006/relationships" name="Responsibilities" sheetId="9" state="visible" r:id="rId9"/>
    <sheet xmlns:r="http://schemas.openxmlformats.org/officeDocument/2006/relationships" name="The year" sheetId="10" state="visible" r:id="rId10"/>
    <sheet xmlns:r="http://schemas.openxmlformats.org/officeDocument/2006/relationships" name="Sites" sheetId="11" state="visible" r:id="rId11"/>
    <sheet xmlns:r="http://schemas.openxmlformats.org/officeDocument/2006/relationships" name="Claims" sheetId="12" state="visible" r:id="rId12"/>
  </sheets>
  <definedNames>
    <definedName name="price">Inputs!$B$5</definedName>
    <definedName name="cost_plastic">Inputs!$B$6</definedName>
    <definedName name="cost_power">Inputs!$B$7</definedName>
    <definedName name="cost_consumables">Inputs!$B$8</definedName>
    <definedName name="cost_parts">Inputs!$B$9</definedName>
    <definedName name="cost_assembly">Inputs!$B$10</definedName>
    <definedName name="wage_per_bed">Inputs!$B$11</definedName>
    <definedName name="hours_per_bed">Inputs!$B$12</definedName>
    <definedName name="kg_in_bed">Inputs!$B$13</definedName>
    <definedName name="kg_pressed">Inputs!$B$14</definedName>
    <definedName name="freight_per_bed">Inputs!$B$15</definedName>
    <definedName name="plant_allowance">Inputs!$B$16</definedName>
    <definedName name="plants">Inputs!$B$17</definedName>
    <definedName name="running_cost">Inputs!$B$18</definedName>
    <definedName name="press_sheets_day">Inputs!$B$19</definedName>
    <definedName name="sheets_per_bed">Inputs!$B$20</definedName>
    <definedName name="days_per_week">Inputs!$B$21</definedName>
    <definedName name="weeks_per_year">Inputs!$B$22</definedName>
    <definedName name="assembly_ceiling">Inputs!$B$23</definedName>
    <definedName name="cnc_rate">Inputs!$B$24</definedName>
    <definedName name="bed_target">Inputs!$B$25</definedName>
    <definedName name="first_year_per_plant">Inputs!$B$26</definedName>
    <definedName name="tff_beds">Inputs!$B$27</definedName>
    <definedName name="bmd_beds">Inputs!$B$28</definedName>
    <definedName name="snow_beds">Inputs!$B$29</definedName>
    <definedName name="alive_beds">Inputs!$B$30</definedName>
    <definedName name="community_keeps">Inputs!$B$31</definedName>
    <definedName name="loan_amount">Inputs!$B$32</definedName>
    <definedName name="loan_service">Inputs!$B$33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"/>
  </numFmts>
  <fonts count="18">
    <font>
      <name val="Calibri"/>
      <family val="2"/>
      <color theme="1"/>
      <sz val="11"/>
      <scheme val="minor"/>
    </font>
    <font>
      <b val="1"/>
      <color rgb="FF221F1B"/>
      <sz val="15"/>
    </font>
    <font>
      <i val="1"/>
      <color rgb="FF7A7263"/>
      <sz val="10"/>
    </font>
    <font>
      <b val="1"/>
      <color rgb="FF221F1B"/>
      <sz val="10"/>
    </font>
    <font>
      <color rgb="FF221F1B"/>
      <sz val="10"/>
    </font>
    <font>
      <color rgb="FF7A7263"/>
      <sz val="10"/>
    </font>
    <font>
      <b val="1"/>
      <color rgb="FF7A7263"/>
      <sz val="9"/>
    </font>
    <font>
      <sz val="10"/>
    </font>
    <font>
      <b val="1"/>
      <sz val="10"/>
    </font>
    <font>
      <color rgb="FF7A7263"/>
      <sz val="9"/>
    </font>
    <font>
      <name val="Menlo"/>
      <color rgb="FFA8643F"/>
      <sz val="9"/>
    </font>
    <font>
      <b val="1"/>
      <sz val="11"/>
    </font>
    <font>
      <b val="1"/>
    </font>
    <font/>
    <font>
      <b val="1"/>
      <color rgb="FF5E7A4C"/>
      <sz val="9"/>
    </font>
    <font>
      <b val="1"/>
      <color rgb="FFA98F3E"/>
      <sz val="9"/>
    </font>
    <font>
      <b val="1"/>
      <color rgb="FF7A4A55"/>
      <sz val="9"/>
    </font>
    <font>
      <b val="1"/>
      <color rgb="FFB4442A"/>
      <sz val="9"/>
    </font>
  </fonts>
  <fills count="4">
    <fill>
      <patternFill/>
    </fill>
    <fill>
      <patternFill patternType="gray125"/>
    </fill>
    <fill>
      <patternFill patternType="solid">
        <fgColor rgb="FFEDE5D8"/>
      </patternFill>
    </fill>
    <fill>
      <patternFill patternType="solid">
        <fgColor rgb="FFFFF3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0" applyAlignment="1" pivotButton="0" quotePrefix="0" xfId="0">
      <alignment vertical="center"/>
    </xf>
    <xf numFmtId="0" fontId="7" fillId="0" borderId="0" pivotButton="0" quotePrefix="0" xfId="0"/>
    <xf numFmtId="3" fontId="8" fillId="3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9" fillId="0" borderId="0" applyAlignment="1" pivotButton="0" quotePrefix="0" xfId="0">
      <alignment vertical="top" wrapText="1"/>
    </xf>
    <xf numFmtId="4" fontId="8" fillId="3" borderId="0" pivotButton="0" quotePrefix="0" xfId="0"/>
    <xf numFmtId="0" fontId="8" fillId="0" borderId="0" pivotButton="0" quotePrefix="0" xfId="0"/>
    <xf numFmtId="164" fontId="11" fillId="0" borderId="0" pivotButton="0" quotePrefix="0" xfId="0"/>
    <xf numFmtId="3" fontId="11" fillId="0" borderId="0" pivotButton="0" quotePrefix="0" xfId="0"/>
    <xf numFmtId="165" fontId="0" fillId="0" borderId="0" pivotButton="0" quotePrefix="0" xfId="0"/>
    <xf numFmtId="165" fontId="12" fillId="0" borderId="0" pivotButton="0" quotePrefix="0" xfId="0"/>
    <xf numFmtId="0" fontId="11" fillId="0" borderId="0" pivotButton="0" quotePrefix="0" xfId="0"/>
    <xf numFmtId="4" fontId="11" fillId="0" borderId="0" pivotButton="0" quotePrefix="0" xfId="0"/>
    <xf numFmtId="3" fontId="7" fillId="0" borderId="0" pivotButton="0" quotePrefix="0" xfId="0"/>
    <xf numFmtId="3" fontId="0" fillId="0" borderId="0" pivotButton="0" quotePrefix="0" xfId="0"/>
    <xf numFmtId="3" fontId="12" fillId="0" borderId="0" pivotButton="0" quotePrefix="0" xfId="0"/>
    <xf numFmtId="165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96" customWidth="1" min="2" max="2"/>
  </cols>
  <sheetData>
    <row r="1">
      <c r="A1" s="1" t="inlineStr">
        <is>
          <t>Goods on Country — the live model</t>
        </is>
      </c>
    </row>
    <row r="2">
      <c r="A2" s="2" t="inlineStr">
        <is>
          <t>Built 10 September 2026 from Goods-financial-plan.xlsx, recalculated. Every figure traces to a cell there.</t>
        </is>
      </c>
    </row>
    <row r="4" ht="30" customHeight="1">
      <c r="A4" s="3" t="inlineStr">
        <is>
          <t>How to use it</t>
        </is>
      </c>
      <c r="B4" s="4" t="inlineStr">
        <is>
          <t>Edit the yellow cells on Inputs. Nothing else. Every other tab is formulas and recalculates.</t>
        </is>
      </c>
    </row>
    <row r="5" ht="30" customHeight="1">
      <c r="A5" s="3" t="inlineStr">
        <is>
          <t>What is different here</t>
        </is>
      </c>
      <c r="B5" s="4" t="inlineStr">
        <is>
          <t>Every input has a name. Formulas read the name, not the cell. Insert a row anywhere and nothing breaks. The 953KB master has 42,429 formulas and no names at all, which is why one inserted row changes its meaning.</t>
        </is>
      </c>
    </row>
    <row r="6" ht="30" customHeight="1">
      <c r="A6" s="3" t="inlineStr">
        <is>
          <t>What wins when two disagree</t>
        </is>
      </c>
      <c r="B6" s="4" t="inlineStr">
        <is>
          <t>canon.ts and asset-canonical.ts for figures. DECISIONS.md for judgements. CONTEXT.md for language. This workbook for money.</t>
        </is>
      </c>
    </row>
    <row r="7" ht="30" customHeight="1">
      <c r="A7" s="3" t="inlineStr">
        <is>
          <t>What is modelled, not measured</t>
        </is>
      </c>
      <c r="B7" s="4" t="inlineStr">
        <is>
          <t>The cost to make a bed, two hours of paid making, and 20 kg in a finished bed. The first fifty beds off each new plant replace all three with weighed and timed numbers.</t>
        </is>
      </c>
    </row>
    <row r="8" ht="30" customHeight="1">
      <c r="A8" s="3" t="inlineStr">
        <is>
          <t>What is verified</t>
        </is>
      </c>
      <c r="B8" s="4" t="inlineStr">
        <is>
          <t>Beds sold and paid, the register count, the FY26 ledger, the funder invitations and their dates.</t>
        </is>
      </c>
    </row>
    <row r="9" ht="30" customHeight="1">
      <c r="A9" s="3" t="inlineStr">
        <is>
          <t>What this does not hold</t>
        </is>
      </c>
      <c r="B9" s="4" t="inlineStr">
        <is>
          <t>The 6,100 rows of source provenance, the Xero extracts and the 36-month cash schedule. Those stay in the master.</t>
        </is>
      </c>
    </row>
    <row r="10" ht="16" customHeight="1">
      <c r="A10" s="3" t="inlineStr">
        <is>
          <t>The one number that is zero</t>
        </is>
      </c>
      <c r="B10" s="4" t="inlineStr">
        <is>
          <t>Funding secured. Every other funding line is an invitation or a conversation.</t>
        </is>
      </c>
    </row>
    <row r="11" ht="16" customHeight="1">
      <c r="A11" s="5" t="inlineStr"/>
      <c r="B11" s="4" t="inlineStr"/>
    </row>
    <row r="12" ht="16" customHeight="1">
      <c r="A12" s="3" t="inlineStr">
        <is>
          <t>Tab</t>
        </is>
      </c>
      <c r="B12" s="4" t="inlineStr">
        <is>
          <t>What it answers</t>
        </is>
      </c>
    </row>
    <row r="13" ht="16" customHeight="1">
      <c r="A13" s="3" t="inlineStr">
        <is>
          <t>Inputs</t>
        </is>
      </c>
      <c r="B13" s="4" t="inlineStr">
        <is>
          <t>Every driver, in one place. The only tab you edit.</t>
        </is>
      </c>
    </row>
    <row r="14" ht="16" customHeight="1">
      <c r="A14" s="3" t="inlineStr">
        <is>
          <t>One bed</t>
        </is>
      </c>
      <c r="B14" s="4" t="inlineStr">
        <is>
          <t>What a bed is worth, what it costs, what stays, and how many carry the year.</t>
        </is>
      </c>
    </row>
    <row r="15" ht="16" customHeight="1">
      <c r="A15" s="3" t="inlineStr">
        <is>
          <t>The plant</t>
        </is>
      </c>
      <c r="B15" s="4" t="inlineStr">
        <is>
          <t>What a plant costs, module by module, and against what benchmarks.</t>
        </is>
      </c>
    </row>
    <row r="16" ht="16" customHeight="1">
      <c r="A16" s="3" t="inlineStr">
        <is>
          <t>Capacity</t>
        </is>
      </c>
      <c r="B16" s="4" t="inlineStr">
        <is>
          <t>How many beds a plant makes and which step sets the limit.</t>
        </is>
      </c>
    </row>
    <row r="17" ht="16" customHeight="1">
      <c r="A17" s="3" t="inlineStr">
        <is>
          <t>Impact</t>
        </is>
      </c>
      <c r="B17" s="4" t="inlineStr">
        <is>
          <t>The four areas, per bed and at volume, with where each claim stops.</t>
        </is>
      </c>
    </row>
    <row r="18" ht="16" customHeight="1">
      <c r="A18" s="3" t="inlineStr">
        <is>
          <t>Asks</t>
        </is>
      </c>
      <c r="B18" s="4" t="inlineStr">
        <is>
          <t>Every funder, the amount, the stage and the condition.</t>
        </is>
      </c>
    </row>
    <row r="19" ht="16" customHeight="1">
      <c r="A19" s="3" t="inlineStr">
        <is>
          <t>Cases</t>
        </is>
      </c>
      <c r="B19" s="4" t="inlineStr">
        <is>
          <t>Five scenarios and what each does to cash.</t>
        </is>
      </c>
    </row>
    <row r="20" ht="16" customHeight="1">
      <c r="A20" s="3" t="inlineStr">
        <is>
          <t>Responsibilities</t>
        </is>
      </c>
      <c r="B20" s="4" t="inlineStr">
        <is>
          <t>What Goods pays for and what the community pays for.</t>
        </is>
      </c>
    </row>
    <row r="21" ht="16" customHeight="1">
      <c r="A21" s="3" t="inlineStr">
        <is>
          <t>The year</t>
        </is>
      </c>
      <c r="B21" s="4" t="inlineStr">
        <is>
          <t>The annual roll-up.</t>
        </is>
      </c>
    </row>
    <row r="22" ht="16" customHeight="1">
      <c r="A22" s="3" t="inlineStr">
        <is>
          <t>Sites</t>
        </is>
      </c>
      <c r="B22" s="4" t="inlineStr">
        <is>
          <t>The three sites and their targets.</t>
        </is>
      </c>
    </row>
    <row r="23" ht="16" customHeight="1">
      <c r="A23" s="3" t="inlineStr">
        <is>
          <t>Claims</t>
        </is>
      </c>
      <c r="B23" s="4" t="inlineStr">
        <is>
          <t>Key figures with a grade and a source.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22" customWidth="1" min="4" max="4"/>
    <col width="62" customWidth="1" min="5" max="5"/>
  </cols>
  <sheetData>
    <row r="1">
      <c r="A1" s="1" t="inlineStr">
        <is>
          <t>Inputs — the only cells you edit</t>
        </is>
      </c>
    </row>
    <row r="2">
      <c r="A2" s="2" t="inlineStr">
        <is>
          <t>Yellow is yours. Each row has a name, and every other tab reads the name.</t>
        </is>
      </c>
    </row>
    <row r="4">
      <c r="A4" s="6" t="inlineStr">
        <is>
          <t>Driver</t>
        </is>
      </c>
      <c r="B4" s="6" t="inlineStr">
        <is>
          <t>Value</t>
        </is>
      </c>
      <c r="C4" s="6" t="inlineStr">
        <is>
          <t>Unit</t>
        </is>
      </c>
      <c r="D4" s="6" t="inlineStr">
        <is>
          <t>Name used in formulas</t>
        </is>
      </c>
      <c r="E4" s="6" t="inlineStr">
        <is>
          <t>Where it comes from</t>
        </is>
      </c>
    </row>
    <row r="5">
      <c r="A5" s="7" t="inlineStr">
        <is>
          <t>Bed price at the factory door</t>
        </is>
      </c>
      <c r="B5" s="8" t="n">
        <v>750</v>
      </c>
      <c r="C5" s="9" t="inlineStr">
        <is>
          <t>AUD</t>
        </is>
      </c>
      <c r="D5" s="10" t="inlineStr">
        <is>
          <t>price</t>
        </is>
      </c>
      <c r="E5" s="11" t="inlineStr">
        <is>
          <t>Model!B22. Ben's canon.</t>
        </is>
      </c>
    </row>
    <row r="6">
      <c r="A6" s="7" t="inlineStr">
        <is>
          <t>Plastic in a bed's cost</t>
        </is>
      </c>
      <c r="B6" s="8" t="n">
        <v>60</v>
      </c>
      <c r="C6" s="9" t="inlineStr">
        <is>
          <t>AUD</t>
        </is>
      </c>
      <c r="D6" s="10" t="inlineStr">
        <is>
          <t>cost_plastic</t>
        </is>
      </c>
      <c r="E6" s="11" t="inlineStr">
        <is>
          <t>NM Play B58, own-sheets route.</t>
        </is>
      </c>
    </row>
    <row r="7">
      <c r="A7" s="7" t="inlineStr">
        <is>
          <t>Electricity in a bed's cost</t>
        </is>
      </c>
      <c r="B7" s="12" t="n">
        <v>16.67</v>
      </c>
      <c r="C7" s="9" t="inlineStr">
        <is>
          <t>AUD</t>
        </is>
      </c>
      <c r="D7" s="10" t="inlineStr">
        <is>
          <t>cost_power</t>
        </is>
      </c>
      <c r="E7" s="11" t="inlineStr">
        <is>
          <t>NM Play B59.</t>
        </is>
      </c>
    </row>
    <row r="8">
      <c r="A8" s="7" t="inlineStr">
        <is>
          <t>Consumables in a bed's cost</t>
        </is>
      </c>
      <c r="B8" s="12" t="n">
        <v>33.33</v>
      </c>
      <c r="C8" s="9" t="inlineStr">
        <is>
          <t>AUD</t>
        </is>
      </c>
      <c r="D8" s="10" t="inlineStr">
        <is>
          <t>cost_consumables</t>
        </is>
      </c>
      <c r="E8" s="11" t="inlineStr">
        <is>
          <t>NM Play B60.</t>
        </is>
      </c>
    </row>
    <row r="9">
      <c r="A9" s="7" t="inlineStr">
        <is>
          <t>Bought parts in a bed's cost</t>
        </is>
      </c>
      <c r="B9" s="12" t="n">
        <v>125.74</v>
      </c>
      <c r="C9" s="9" t="inlineStr">
        <is>
          <t>AUD</t>
        </is>
      </c>
      <c r="D9" s="10" t="inlineStr">
        <is>
          <t>cost_parts</t>
        </is>
      </c>
      <c r="E9" s="11" t="inlineStr">
        <is>
          <t>NM Play B61. Poles 27, canvas 93.50, hardware 5.24.</t>
        </is>
      </c>
    </row>
    <row r="10">
      <c r="A10" s="7" t="inlineStr">
        <is>
          <t>Assembly allowance</t>
        </is>
      </c>
      <c r="B10" s="8" t="n">
        <v>40</v>
      </c>
      <c r="C10" s="9" t="inlineStr">
        <is>
          <t>AUD</t>
        </is>
      </c>
      <c r="D10" s="10" t="inlineStr">
        <is>
          <t>cost_assembly</t>
        </is>
      </c>
      <c r="E10" s="11" t="inlineStr">
        <is>
          <t>NM Play B64. This is the line that makes 235.74 into 276.</t>
        </is>
      </c>
    </row>
    <row r="11">
      <c r="A11" s="7" t="inlineStr">
        <is>
          <t>Paid making inside a bed</t>
        </is>
      </c>
      <c r="B11" s="8" t="n">
        <v>80</v>
      </c>
      <c r="C11" s="9" t="inlineStr">
        <is>
          <t>AUD</t>
        </is>
      </c>
      <c r="D11" s="10" t="inlineStr">
        <is>
          <t>wage_per_bed</t>
        </is>
      </c>
      <c r="E11" s="11" t="inlineStr">
        <is>
          <t>Two hours at the factory rate.</t>
        </is>
      </c>
    </row>
    <row r="12">
      <c r="A12" s="7" t="inlineStr">
        <is>
          <t>Hours of paid making a bed</t>
        </is>
      </c>
      <c r="B12" s="8" t="n">
        <v>2</v>
      </c>
      <c r="C12" s="9" t="inlineStr">
        <is>
          <t>hours</t>
        </is>
      </c>
      <c r="D12" s="10" t="inlineStr">
        <is>
          <t>hours_per_bed</t>
        </is>
      </c>
      <c r="E12" s="11" t="inlineStr">
        <is>
          <t>Settled 10 Sep. The 6.5-hour figure is withdrawn.</t>
        </is>
      </c>
    </row>
    <row r="13">
      <c r="A13" s="7" t="inlineStr">
        <is>
          <t>HDPE in a finished bed</t>
        </is>
      </c>
      <c r="B13" s="8" t="n">
        <v>20</v>
      </c>
      <c r="C13" s="9" t="inlineStr">
        <is>
          <t>kg</t>
        </is>
      </c>
      <c r="D13" s="10" t="inlineStr">
        <is>
          <t>kg_in_bed</t>
        </is>
      </c>
      <c r="E13" s="11" t="inlineStr">
        <is>
          <t>Design mass. NM Play B38.</t>
        </is>
      </c>
    </row>
    <row r="14">
      <c r="A14" s="7" t="inlineStr">
        <is>
          <t>Shred pressed to make a bed</t>
        </is>
      </c>
      <c r="B14" s="8" t="n">
        <v>36</v>
      </c>
      <c r="C14" s="9" t="inlineStr">
        <is>
          <t>kg</t>
        </is>
      </c>
      <c r="D14" s="10" t="inlineStr">
        <is>
          <t>kg_pressed</t>
        </is>
      </c>
      <c r="E14" s="11" t="inlineStr">
        <is>
          <t>NM Play B21. Leg sheet 21, tab sheet 15.</t>
        </is>
      </c>
    </row>
    <row r="15">
      <c r="A15" s="7" t="inlineStr">
        <is>
          <t>Freight a bed</t>
        </is>
      </c>
      <c r="B15" s="8" t="n">
        <v>100</v>
      </c>
      <c r="C15" s="9" t="inlineStr">
        <is>
          <t>AUD</t>
        </is>
      </c>
      <c r="D15" s="10" t="inlineStr">
        <is>
          <t>freight_per_bed</t>
        </is>
      </c>
      <c r="E15" s="11" t="inlineStr">
        <is>
          <t>Start!B49. Inherited estimate, routes need quotes.</t>
        </is>
      </c>
    </row>
    <row r="16">
      <c r="A16" s="7" t="inlineStr">
        <is>
          <t>Allowance for one plant</t>
        </is>
      </c>
      <c r="B16" s="8" t="n">
        <v>150000</v>
      </c>
      <c r="C16" s="9" t="inlineStr">
        <is>
          <t>AUD</t>
        </is>
      </c>
      <c r="D16" s="10" t="inlineStr">
        <is>
          <t>plant_allowance</t>
        </is>
      </c>
      <c r="E16" s="11" t="inlineStr">
        <is>
          <t>Capital!C7. An allowance, not a quote.</t>
        </is>
      </c>
    </row>
    <row r="17">
      <c r="A17" s="7" t="inlineStr">
        <is>
          <t>Plants QBE builds</t>
        </is>
      </c>
      <c r="B17" s="8" t="n">
        <v>2</v>
      </c>
      <c r="C17" s="9" t="inlineStr">
        <is>
          <t>plants</t>
        </is>
      </c>
      <c r="D17" s="10" t="inlineStr">
        <is>
          <t>plants</t>
        </is>
      </c>
      <c r="E17" s="11" t="inlineStr">
        <is>
          <t>Ben, 9 Sep 2026.</t>
        </is>
      </c>
    </row>
    <row r="18">
      <c r="A18" s="7" t="inlineStr">
        <is>
          <t>Running the organisation a year</t>
        </is>
      </c>
      <c r="B18" s="8" t="n">
        <v>297550</v>
      </c>
      <c r="C18" s="9" t="inlineStr">
        <is>
          <t>AUD</t>
        </is>
      </c>
      <c r="D18" s="10" t="inlineStr">
        <is>
          <t>running_cost</t>
        </is>
      </c>
      <c r="E18" s="11" t="inlineStr">
        <is>
          <t>Model!B25.</t>
        </is>
      </c>
    </row>
    <row r="19">
      <c r="A19" s="7" t="inlineStr">
        <is>
          <t>Pressed sheets a day</t>
        </is>
      </c>
      <c r="B19" s="8" t="n">
        <v>6</v>
      </c>
      <c r="C19" s="9" t="inlineStr">
        <is>
          <t>sheets</t>
        </is>
      </c>
      <c r="D19" s="10" t="inlineStr">
        <is>
          <t>press_sheets_day</t>
        </is>
      </c>
      <c r="E19" s="11" t="inlineStr">
        <is>
          <t>NM Play B10. Unverified sustained rate.</t>
        </is>
      </c>
    </row>
    <row r="20">
      <c r="A20" s="7" t="inlineStr">
        <is>
          <t>Sheets pressed for one bed</t>
        </is>
      </c>
      <c r="B20" s="8" t="n">
        <v>2</v>
      </c>
      <c r="C20" s="9" t="inlineStr">
        <is>
          <t>sheets</t>
        </is>
      </c>
      <c r="D20" s="10" t="inlineStr">
        <is>
          <t>sheets_per_bed</t>
        </is>
      </c>
      <c r="E20" s="11" t="inlineStr">
        <is>
          <t>NM Play B45. One tab sheet, one leg sheet.</t>
        </is>
      </c>
    </row>
    <row r="21">
      <c r="A21" s="7" t="inlineStr">
        <is>
          <t>Production days a week</t>
        </is>
      </c>
      <c r="B21" s="8" t="n">
        <v>5</v>
      </c>
      <c r="C21" s="9" t="inlineStr">
        <is>
          <t>days</t>
        </is>
      </c>
      <c r="D21" s="10" t="inlineStr">
        <is>
          <t>days_per_week</t>
        </is>
      </c>
      <c r="E21" s="11" t="inlineStr">
        <is>
          <t>NM Play B7.</t>
        </is>
      </c>
    </row>
    <row r="22">
      <c r="A22" s="7" t="inlineStr">
        <is>
          <t>Productive weeks a year</t>
        </is>
      </c>
      <c r="B22" s="8" t="n">
        <v>48</v>
      </c>
      <c r="C22" s="9" t="inlineStr">
        <is>
          <t>weeks</t>
        </is>
      </c>
      <c r="D22" s="10" t="inlineStr">
        <is>
          <t>weeks_per_year</t>
        </is>
      </c>
      <c r="E22" s="11" t="inlineStr">
        <is>
          <t>NM Play B9.</t>
        </is>
      </c>
    </row>
    <row r="23">
      <c r="A23" s="7" t="inlineStr">
        <is>
          <t>Assembly ceiling</t>
        </is>
      </c>
      <c r="B23" s="8" t="n">
        <v>5</v>
      </c>
      <c r="C23" s="9" t="inlineStr">
        <is>
          <t>beds/day</t>
        </is>
      </c>
      <c r="D23" s="10" t="inlineStr">
        <is>
          <t>assembly_ceiling</t>
        </is>
      </c>
      <c r="E23" s="11" t="inlineStr">
        <is>
          <t>NM Play B36. Staffing has to verify it.</t>
        </is>
      </c>
    </row>
    <row r="24">
      <c r="A24" s="7" t="inlineStr">
        <is>
          <t>CNC throughput</t>
        </is>
      </c>
      <c r="B24" s="12" t="n">
        <v>8.56</v>
      </c>
      <c r="C24" s="9" t="inlineStr">
        <is>
          <t>beds/day</t>
        </is>
      </c>
      <c r="D24" s="10" t="inlineStr">
        <is>
          <t>cnc_rate</t>
        </is>
      </c>
      <c r="E24" s="11" t="inlineStr">
        <is>
          <t>NM Play B47. Never the constraint.</t>
        </is>
      </c>
    </row>
    <row r="25">
      <c r="A25" s="7" t="inlineStr">
        <is>
          <t>Bed target this year</t>
        </is>
      </c>
      <c r="B25" s="8" t="n">
        <v>400</v>
      </c>
      <c r="C25" s="9" t="inlineStr">
        <is>
          <t>beds</t>
        </is>
      </c>
      <c r="D25" s="10" t="inlineStr">
        <is>
          <t>bed_target</t>
        </is>
      </c>
      <c r="E25" s="11" t="inlineStr">
        <is>
          <t>Ben, 9 Sep 2026. First trading stock.</t>
        </is>
      </c>
    </row>
    <row r="26">
      <c r="A26" s="7" t="inlineStr">
        <is>
          <t>A plant's first year</t>
        </is>
      </c>
      <c r="B26" s="8" t="n">
        <v>200</v>
      </c>
      <c r="C26" s="9" t="inlineStr">
        <is>
          <t>beds</t>
        </is>
      </c>
      <c r="D26" s="10" t="inlineStr">
        <is>
          <t>first_year_per_plant</t>
        </is>
      </c>
      <c r="E26" s="11" t="inlineStr">
        <is>
          <t>Q6. The ramp, not the ceiling.</t>
        </is>
      </c>
    </row>
    <row r="27">
      <c r="A27" s="7" t="inlineStr">
        <is>
          <t>Tim Fairfax, beds</t>
        </is>
      </c>
      <c r="B27" s="8" t="n">
        <v>133</v>
      </c>
      <c r="C27" s="9" t="inlineStr">
        <is>
          <t>beds</t>
        </is>
      </c>
      <c r="D27" s="10" t="inlineStr">
        <is>
          <t>tff_beds</t>
        </is>
      </c>
      <c r="E27" s="11" t="inlineStr">
        <is>
          <t>$100,000 of the invited $300,000, at the bed price.</t>
        </is>
      </c>
    </row>
    <row r="28">
      <c r="A28" s="7" t="inlineStr">
        <is>
          <t>Brian M. Davis, beds</t>
        </is>
      </c>
      <c r="B28" s="8" t="n">
        <v>80</v>
      </c>
      <c r="C28" s="9" t="inlineStr">
        <is>
          <t>beds</t>
        </is>
      </c>
      <c r="D28" s="10" t="inlineStr">
        <is>
          <t>bmd_beds</t>
        </is>
      </c>
      <c r="E28" s="11" t="inlineStr">
        <is>
          <t>$60,000 of the invited $100,000.</t>
        </is>
      </c>
    </row>
    <row r="29">
      <c r="A29" s="7" t="inlineStr">
        <is>
          <t>Snow, beds</t>
        </is>
      </c>
      <c r="B29" s="8" t="n">
        <v>133</v>
      </c>
      <c r="C29" s="9" t="inlineStr">
        <is>
          <t>beds</t>
        </is>
      </c>
      <c r="D29" s="10" t="inlineStr">
        <is>
          <t>snow_beds</t>
        </is>
      </c>
      <c r="E29" s="11" t="inlineStr">
        <is>
          <t>Ben, 10 Sep: a $100,000 ask shaped like Brian M. Davis.</t>
        </is>
      </c>
    </row>
    <row r="30">
      <c r="A30" s="7" t="inlineStr">
        <is>
          <t>ALIVE, beds</t>
        </is>
      </c>
      <c r="B30" s="8" t="n">
        <v>100</v>
      </c>
      <c r="C30" s="9" t="inlineStr">
        <is>
          <t>beds</t>
        </is>
      </c>
      <c r="D30" s="10" t="inlineStr">
        <is>
          <t>alive_beds</t>
        </is>
      </c>
      <c r="E30" s="11" t="inlineStr">
        <is>
          <t>Already paid. Outside the target.</t>
        </is>
      </c>
    </row>
    <row r="31">
      <c r="A31" s="7" t="inlineStr">
        <is>
          <t>Community keeps, share of price</t>
        </is>
      </c>
      <c r="B31" s="12" t="n">
        <v>1</v>
      </c>
      <c r="C31" s="9" t="inlineStr">
        <is>
          <t>share</t>
        </is>
      </c>
      <c r="D31" s="10" t="inlineStr">
        <is>
          <t>community_keeps</t>
        </is>
      </c>
      <c r="E31" s="11" t="inlineStr">
        <is>
          <t>Ben, 10 Sep: the community keeps the full sale. The 50% split is retired.</t>
        </is>
      </c>
    </row>
    <row r="32">
      <c r="A32" s="7" t="inlineStr">
        <is>
          <t>Proposed loan</t>
        </is>
      </c>
      <c r="B32" s="8" t="n">
        <v>200000</v>
      </c>
      <c r="C32" s="9" t="inlineStr">
        <is>
          <t>AUD</t>
        </is>
      </c>
      <c r="D32" s="10" t="inlineStr">
        <is>
          <t>loan_amount</t>
        </is>
      </c>
      <c r="E32" s="11" t="inlineStr">
        <is>
          <t>Funding F06. Our number, not Sefa's.</t>
        </is>
      </c>
    </row>
    <row r="33">
      <c r="A33" s="7" t="inlineStr">
        <is>
          <t>Loan service a year</t>
        </is>
      </c>
      <c r="B33" s="8" t="n">
        <v>47522.88</v>
      </c>
      <c r="C33" s="9" t="inlineStr">
        <is>
          <t>AUD</t>
        </is>
      </c>
      <c r="D33" s="10" t="inlineStr">
        <is>
          <t>loan_service</t>
        </is>
      </c>
      <c r="E33" s="11" t="inlineStr">
        <is>
          <t>Cases!K6. 7% over five years.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62" customWidth="1" min="3" max="3"/>
  </cols>
  <sheetData>
    <row r="1">
      <c r="A1" s="1" t="inlineStr">
        <is>
          <t>One bed</t>
        </is>
      </c>
    </row>
    <row r="2">
      <c r="A2" s="2" t="inlineStr">
        <is>
          <t>Never cost-plus. The price carries the business, and the organisation is never divided by beds alone.</t>
        </is>
      </c>
    </row>
    <row r="4">
      <c r="A4" s="6" t="inlineStr"/>
      <c r="B4" s="6" t="inlineStr">
        <is>
          <t>AUD</t>
        </is>
      </c>
      <c r="C4" s="6" t="inlineStr">
        <is>
          <t>Note</t>
        </is>
      </c>
    </row>
    <row r="5">
      <c r="A5" s="13" t="inlineStr">
        <is>
          <t>Price at the factory door</t>
        </is>
      </c>
      <c r="B5" s="14">
        <f>price</f>
        <v/>
      </c>
      <c r="C5" s="11" t="inlineStr">
        <is>
          <t>What a funder pays for a community's first stock.</t>
        </is>
      </c>
    </row>
    <row r="6">
      <c r="A6" s="7" t="inlineStr">
        <is>
          <t>Plastic</t>
        </is>
      </c>
      <c r="B6" s="14">
        <f>cost_plastic</f>
        <v/>
      </c>
      <c r="C6" s="11" t="inlineStr"/>
    </row>
    <row r="7">
      <c r="A7" s="7" t="inlineStr">
        <is>
          <t>Electricity</t>
        </is>
      </c>
      <c r="B7" s="14">
        <f>cost_power</f>
        <v/>
      </c>
      <c r="C7" s="11" t="inlineStr"/>
    </row>
    <row r="8">
      <c r="A8" s="7" t="inlineStr">
        <is>
          <t>Consumables</t>
        </is>
      </c>
      <c r="B8" s="14">
        <f>cost_consumables</f>
        <v/>
      </c>
      <c r="C8" s="11" t="inlineStr"/>
    </row>
    <row r="9">
      <c r="A9" s="7" t="inlineStr">
        <is>
          <t>Bought parts</t>
        </is>
      </c>
      <c r="B9" s="14">
        <f>cost_parts</f>
        <v/>
      </c>
      <c r="C9" s="11" t="inlineStr">
        <is>
          <t>Poles, canvas, hardware.</t>
        </is>
      </c>
    </row>
    <row r="10">
      <c r="A10" s="7" t="inlineStr">
        <is>
          <t>Assembly allowance</t>
        </is>
      </c>
      <c r="B10" s="14">
        <f>cost_assembly</f>
        <v/>
      </c>
      <c r="C10" s="11" t="inlineStr">
        <is>
          <t>The line that turns 235.74 into 276.</t>
        </is>
      </c>
    </row>
    <row r="11">
      <c r="A11" s="13" t="inlineStr">
        <is>
          <t>Cost to make</t>
        </is>
      </c>
      <c r="B11" s="14">
        <f>cost_plastic+cost_power+cost_consumables+cost_parts+cost_assembly</f>
        <v/>
      </c>
      <c r="C11" s="11" t="inlineStr">
        <is>
          <t>Modelled until the first fifty come off the line at working pace.</t>
        </is>
      </c>
    </row>
    <row r="12">
      <c r="A12" s="7" t="inlineStr">
        <is>
          <t>Of which paid making</t>
        </is>
      </c>
      <c r="B12" s="14">
        <f>wage_per_bed</f>
        <v/>
      </c>
      <c r="C12" s="11" t="inlineStr">
        <is>
          <t>Two hours. On country once a plant moves.</t>
        </is>
      </c>
    </row>
    <row r="13">
      <c r="A13" s="13" t="inlineStr">
        <is>
          <t>Stays with Goods</t>
        </is>
      </c>
      <c r="B13" s="14">
        <f>price-(cost_plastic+cost_power+cost_consumables+cost_parts+cost_assembly)</f>
        <v/>
      </c>
      <c r="C13" s="11" t="inlineStr">
        <is>
          <t>Carries Witta, the founders and the organisation.</t>
        </is>
      </c>
    </row>
    <row r="14">
      <c r="A14" s="7" t="inlineStr">
        <is>
          <t>Freight</t>
        </is>
      </c>
      <c r="B14" s="14">
        <f>freight_per_bed</f>
        <v/>
      </c>
      <c r="C14" s="11" t="inlineStr">
        <is>
          <t>On top, at cost, per community, paid by whoever buys the bed.</t>
        </is>
      </c>
    </row>
    <row r="15">
      <c r="A15" s="7" t="inlineStr"/>
      <c r="C15" s="11" t="inlineStr"/>
    </row>
    <row r="16">
      <c r="A16" s="7" t="inlineStr">
        <is>
          <t>Running the organisation a year</t>
        </is>
      </c>
      <c r="B16" s="14">
        <f>running_cost</f>
        <v/>
      </c>
      <c r="C16" s="11" t="inlineStr"/>
    </row>
    <row r="17">
      <c r="A17" s="13" t="inlineStr">
        <is>
          <t>Beds a year that carry it, buyer pays freight</t>
        </is>
      </c>
      <c r="B17" s="15">
        <f>ROUNDUP(running_cost/(price-(cost_plastic+cost_power+cost_consumables+cost_parts+cost_assembly)),0)</f>
        <v/>
      </c>
      <c r="C17" s="11" t="inlineStr">
        <is>
          <t>The break-even the deck prints.</t>
        </is>
      </c>
    </row>
    <row r="18">
      <c r="A18" s="13" t="inlineStr">
        <is>
          <t>Beds a year that carry it, Goods pays freight</t>
        </is>
      </c>
      <c r="B18" s="15">
        <f>ROUNDUP(running_cost/(price-(cost_plastic+cost_power+cost_consumables+cost_parts+cost_assembly)-freight_per_bed),0)</f>
        <v/>
      </c>
      <c r="C18" s="11" t="inlineStr">
        <is>
          <t>What carrying freight costs in beds.</t>
        </is>
      </c>
    </row>
    <row r="19">
      <c r="A19" s="7" t="inlineStr"/>
      <c r="C19" s="11" t="inlineStr"/>
    </row>
    <row r="20">
      <c r="A20" s="13" t="inlineStr">
        <is>
          <t>Kept in the community on sale</t>
        </is>
      </c>
      <c r="B20" s="14">
        <f>price*community_keeps</f>
        <v/>
      </c>
      <c r="C20" s="11" t="inlineStr">
        <is>
          <t>Ben, 10 Sep: the community keeps the full sale price.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4" customWidth="1" min="3" max="3"/>
    <col width="14" customWidth="1" min="4" max="4"/>
    <col width="14" customWidth="1" min="5" max="5"/>
    <col width="54" customWidth="1" min="6" max="6"/>
  </cols>
  <sheetData>
    <row r="1">
      <c r="A1" s="1" t="inlineStr">
        <is>
          <t>The plant, module by module</t>
        </is>
      </c>
    </row>
    <row r="2">
      <c r="A2" s="2" t="inlineStr">
        <is>
          <t>Thirteen modules and a site base. Four have a supplier price. Nine are estimates, and that is what the allowance margin is for.</t>
        </is>
      </c>
    </row>
    <row r="4">
      <c r="A4" s="6" t="inlineStr">
        <is>
          <t>ID</t>
        </is>
      </c>
      <c r="B4" s="6" t="inlineStr">
        <is>
          <t>Module</t>
        </is>
      </c>
      <c r="C4" s="6" t="inlineStr">
        <is>
          <t>Low</t>
        </is>
      </c>
      <c r="D4" s="6" t="inlineStr">
        <is>
          <t>High</t>
        </is>
      </c>
      <c r="E4" s="6" t="inlineStr">
        <is>
          <t>Midpoint</t>
        </is>
      </c>
      <c r="F4" s="6" t="inlineStr">
        <is>
          <t>Price basis</t>
        </is>
      </c>
    </row>
    <row r="5">
      <c r="A5" s="9" t="inlineStr">
        <is>
          <t>M01</t>
        </is>
      </c>
      <c r="B5" s="7" t="inlineStr">
        <is>
          <t>40ft shipping container</t>
        </is>
      </c>
      <c r="C5" s="16" t="n">
        <v>13000</v>
      </c>
      <c r="D5" s="16" t="n">
        <v>16000</v>
      </c>
      <c r="E5" s="16" t="n">
        <v>14500</v>
      </c>
      <c r="F5" s="9" t="inlineStr">
        <is>
          <t>Estimate or historical proxy</t>
        </is>
      </c>
    </row>
    <row r="6">
      <c r="A6" s="9" t="inlineStr">
        <is>
          <t>M02</t>
        </is>
      </c>
      <c r="B6" s="7" t="inlineStr">
        <is>
          <t>20ft shipping container</t>
        </is>
      </c>
      <c r="C6" s="16" t="n">
        <v>6000</v>
      </c>
      <c r="D6" s="16" t="n">
        <v>10000</v>
      </c>
      <c r="E6" s="16" t="n">
        <v>8000</v>
      </c>
      <c r="F6" s="9" t="inlineStr">
        <is>
          <t>Estimate</t>
        </is>
      </c>
    </row>
    <row r="7">
      <c r="A7" s="9" t="inlineStr">
        <is>
          <t>M03</t>
        </is>
      </c>
      <c r="B7" s="7" t="inlineStr">
        <is>
          <t>Diesel generator, press-line sized</t>
        </is>
      </c>
      <c r="C7" s="16" t="n">
        <v>6600</v>
      </c>
      <c r="D7" s="16" t="n">
        <v>20000</v>
      </c>
      <c r="E7" s="16" t="n">
        <v>13300</v>
      </c>
      <c r="F7" s="9" t="inlineStr">
        <is>
          <t>Estimate. The widest range of any module</t>
        </is>
      </c>
    </row>
    <row r="8">
      <c r="A8" s="9" t="inlineStr">
        <is>
          <t>M04</t>
        </is>
      </c>
      <c r="B8" s="7" t="inlineStr">
        <is>
          <t>Crane placement and transport</t>
        </is>
      </c>
      <c r="C8" s="16" t="n">
        <v>1200</v>
      </c>
      <c r="D8" s="16" t="n">
        <v>2500</v>
      </c>
      <c r="E8" s="16" t="n">
        <v>1850</v>
      </c>
      <c r="F8" s="9" t="inlineStr">
        <is>
          <t>Quoted</t>
        </is>
      </c>
    </row>
    <row r="9">
      <c r="A9" s="9" t="inlineStr">
        <is>
          <t>M05</t>
        </is>
      </c>
      <c r="B9" s="7" t="inlineStr">
        <is>
          <t>Electrical fit-out, board, three-phase</t>
        </is>
      </c>
      <c r="C9" s="16" t="n">
        <v>3000</v>
      </c>
      <c r="D9" s="16" t="n">
        <v>8000</v>
      </c>
      <c r="E9" s="16" t="n">
        <v>5500</v>
      </c>
      <c r="F9" s="9" t="inlineStr">
        <is>
          <t>Estimate</t>
        </is>
      </c>
    </row>
    <row r="10">
      <c r="A10" s="9" t="inlineStr">
        <is>
          <t>M06</t>
        </is>
      </c>
      <c r="B10" s="7" t="inlineStr">
        <is>
          <t>Ventilation and fume extraction</t>
        </is>
      </c>
      <c r="C10" s="16" t="n">
        <v>1000</v>
      </c>
      <c r="D10" s="16" t="n">
        <v>3000</v>
      </c>
      <c r="E10" s="16" t="n">
        <v>2000</v>
      </c>
      <c r="F10" s="9" t="inlineStr">
        <is>
          <t>Estimate</t>
        </is>
      </c>
    </row>
    <row r="11">
      <c r="A11" s="9" t="inlineStr">
        <is>
          <t>M07</t>
        </is>
      </c>
      <c r="B11" s="7" t="inlineStr">
        <is>
          <t>Site prep, pad and levelling</t>
        </is>
      </c>
      <c r="C11" s="16" t="n">
        <v>500</v>
      </c>
      <c r="D11" s="16" t="n">
        <v>3000</v>
      </c>
      <c r="E11" s="16" t="n">
        <v>1750</v>
      </c>
      <c r="F11" s="9" t="inlineStr">
        <is>
          <t>Estimate. Site specific</t>
        </is>
      </c>
    </row>
    <row r="12">
      <c r="A12" s="9" t="inlineStr">
        <is>
          <t>M08</t>
        </is>
      </c>
      <c r="B12" s="7" t="inlineStr">
        <is>
          <t>PPE and startup consumables</t>
        </is>
      </c>
      <c r="C12" s="16" t="n">
        <v>500</v>
      </c>
      <c r="D12" s="16" t="n">
        <v>1500</v>
      </c>
      <c r="E12" s="16" t="n">
        <v>1000</v>
      </c>
      <c r="F12" s="9" t="inlineStr">
        <is>
          <t>Estimate</t>
        </is>
      </c>
    </row>
    <row r="13">
      <c r="A13" s="9" t="inlineStr">
        <is>
          <t>M09</t>
        </is>
      </c>
      <c r="B13" s="7" t="inlineStr">
        <is>
          <t>Collection and sorting</t>
        </is>
      </c>
      <c r="C13" s="16" t="n">
        <v>5000</v>
      </c>
      <c r="D13" s="16" t="n">
        <v>19500</v>
      </c>
      <c r="E13" s="16" t="n">
        <v>12250</v>
      </c>
      <c r="F13" s="9" t="inlineStr">
        <is>
          <t>Estimate</t>
        </is>
      </c>
    </row>
    <row r="14">
      <c r="A14" s="9" t="inlineStr">
        <is>
          <t>M10</t>
        </is>
      </c>
      <c r="B14" s="7" t="inlineStr">
        <is>
          <t>Shredding</t>
        </is>
      </c>
      <c r="C14" s="16" t="n">
        <v>19800</v>
      </c>
      <c r="D14" s="16" t="n">
        <v>19800</v>
      </c>
      <c r="E14" s="16" t="n">
        <v>19800</v>
      </c>
      <c r="F14" s="9" t="inlineStr">
        <is>
          <t>Telford Smith. A single price</t>
        </is>
      </c>
    </row>
    <row r="15">
      <c r="A15" s="9" t="inlineStr">
        <is>
          <t>M11</t>
        </is>
      </c>
      <c r="B15" s="7" t="inlineStr">
        <is>
          <t>Pressing, CNC and finishing</t>
        </is>
      </c>
      <c r="C15" s="16" t="n">
        <v>32780</v>
      </c>
      <c r="D15" s="16" t="n">
        <v>32780</v>
      </c>
      <c r="E15" s="16" t="n">
        <v>32780</v>
      </c>
      <c r="F15" s="9" t="inlineStr">
        <is>
          <t>Circularity bundle. A single price</t>
        </is>
      </c>
    </row>
    <row r="16">
      <c r="A16" s="9" t="inlineStr">
        <is>
          <t>M12</t>
        </is>
      </c>
      <c r="B16" s="7" t="inlineStr">
        <is>
          <t>Assembly and workshop</t>
        </is>
      </c>
      <c r="C16" s="16" t="n">
        <v>6387</v>
      </c>
      <c r="D16" s="16" t="n">
        <v>6387</v>
      </c>
      <c r="E16" s="16" t="n">
        <v>6387</v>
      </c>
      <c r="F16" s="9" t="inlineStr">
        <is>
          <t>Carbatec. A single price</t>
        </is>
      </c>
    </row>
    <row r="17">
      <c r="A17" s="9" t="inlineStr">
        <is>
          <t>M13</t>
        </is>
      </c>
      <c r="B17" s="7" t="inlineStr">
        <is>
          <t>Sales and delivery</t>
        </is>
      </c>
      <c r="C17" s="16" t="n">
        <v>0</v>
      </c>
      <c r="D17" s="16" t="n">
        <v>0</v>
      </c>
      <c r="E17" s="16" t="n">
        <v>0</v>
      </c>
      <c r="F17" s="9" t="inlineStr">
        <is>
          <t>Nothing priced here yet</t>
        </is>
      </c>
    </row>
    <row r="18">
      <c r="B18" s="13" t="inlineStr">
        <is>
          <t>Every module and the site base</t>
        </is>
      </c>
      <c r="C18" s="17">
        <f>SUM(C5:C17)</f>
        <v/>
      </c>
      <c r="D18" s="17">
        <f>SUM(D5:D17)</f>
        <v/>
      </c>
      <c r="E18" s="17">
        <f>SUM(E5:E17)</f>
        <v/>
      </c>
    </row>
    <row r="20">
      <c r="B20" s="18" t="inlineStr">
        <is>
          <t>Against the benchmarks</t>
        </is>
      </c>
    </row>
    <row r="21">
      <c r="B21" s="7" t="inlineStr">
        <is>
          <t>Replicate and install a site</t>
        </is>
      </c>
      <c r="C21" s="17" t="n">
        <v>113000</v>
      </c>
      <c r="F21" s="9" t="inlineStr">
        <is>
          <t>Capital!C31. The lean end.</t>
        </is>
      </c>
    </row>
    <row r="22">
      <c r="B22" s="7" t="inlineStr">
        <is>
          <t>The allowance we ask for</t>
        </is>
      </c>
      <c r="C22" s="17">
        <f>plant_allowance</f>
        <v/>
      </c>
      <c r="F22" s="9" t="inlineStr">
        <is>
          <t>Sits above the module high.</t>
        </is>
      </c>
    </row>
    <row r="23">
      <c r="B23" s="7" t="inlineStr">
        <is>
          <t>Turnkey a site</t>
        </is>
      </c>
      <c r="C23" s="17" t="n">
        <v>207450</v>
      </c>
      <c r="F23" s="9" t="inlineStr">
        <is>
          <t>Capital!C32. Handed over running.</t>
        </is>
      </c>
    </row>
    <row r="24">
      <c r="B24" s="7" t="inlineStr">
        <is>
          <t>The QBE request</t>
        </is>
      </c>
      <c r="C24" s="17">
        <f>plants*plant_allowance</f>
        <v/>
      </c>
      <c r="F24" s="9" t="inlineStr">
        <is>
          <t>Two plants.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62" customWidth="1" min="3" max="3"/>
  </cols>
  <sheetData>
    <row r="1">
      <c r="A1" s="1" t="inlineStr">
        <is>
          <t>Capacity, and which step sets it</t>
        </is>
      </c>
    </row>
    <row r="2">
      <c r="A2" s="2" t="inlineStr">
        <is>
          <t>The press is the jam. The router and the bench both have spare at every level of press output.</t>
        </is>
      </c>
    </row>
    <row r="4">
      <c r="A4" s="6" t="inlineStr">
        <is>
          <t>Step</t>
        </is>
      </c>
      <c r="B4" s="6" t="inlineStr">
        <is>
          <t>Beds a day</t>
        </is>
      </c>
      <c r="C4" s="6" t="inlineStr">
        <is>
          <t>What it means</t>
        </is>
      </c>
    </row>
    <row r="5">
      <c r="A5" s="7" t="inlineStr">
        <is>
          <t>Sort and shred</t>
        </is>
      </c>
      <c r="B5" s="19">
        <f>kg_pressed</f>
        <v/>
      </c>
      <c r="C5" s="11" t="inlineStr">
        <is>
          <t>Kilograms of shred pressed for one bed, not a rate.</t>
        </is>
      </c>
    </row>
    <row r="6">
      <c r="A6" s="7" t="inlineStr">
        <is>
          <t>Heat, press and cool</t>
        </is>
      </c>
      <c r="B6" s="19">
        <f>press_sheets_day/sheets_per_bed</f>
        <v/>
      </c>
      <c r="C6" s="11" t="inlineStr">
        <is>
          <t>Six sheets a day, two sheets a bed. This sets the pace.</t>
        </is>
      </c>
    </row>
    <row r="7">
      <c r="A7" s="7" t="inlineStr">
        <is>
          <t>CNC cut and finish</t>
        </is>
      </c>
      <c r="B7" s="19">
        <f>cnc_rate</f>
        <v/>
      </c>
      <c r="C7" s="11" t="inlineStr">
        <is>
          <t>Spare capacity at every level of press output.</t>
        </is>
      </c>
    </row>
    <row r="8">
      <c r="A8" s="7" t="inlineStr">
        <is>
          <t>Assemble, test and pack</t>
        </is>
      </c>
      <c r="B8" s="19">
        <f>assembly_ceiling</f>
        <v/>
      </c>
      <c r="C8" s="11" t="inlineStr">
        <is>
          <t>An independent ceiling that staffing has to verify.</t>
        </is>
      </c>
    </row>
    <row r="9">
      <c r="A9" s="7" t="inlineStr"/>
      <c r="C9" s="11" t="inlineStr"/>
    </row>
    <row r="10">
      <c r="A10" s="13" t="inlineStr">
        <is>
          <t>The binding step</t>
        </is>
      </c>
      <c r="B10" s="19">
        <f>MIN(press_sheets_day/sheets_per_bed,cnc_rate,assembly_ceiling)</f>
        <v/>
      </c>
      <c r="C10" s="11" t="inlineStr">
        <is>
          <t>Whichever is lowest is the plant's real rate.</t>
        </is>
      </c>
    </row>
    <row r="11">
      <c r="A11" s="7" t="inlineStr">
        <is>
          <t>Beds a week</t>
        </is>
      </c>
      <c r="B11" s="19">
        <f>MIN(press_sheets_day/sheets_per_bed,cnc_rate,assembly_ceiling)*days_per_week</f>
        <v/>
      </c>
      <c r="C11" s="11" t="inlineStr"/>
    </row>
    <row r="12">
      <c r="A12" s="13" t="inlineStr">
        <is>
          <t>Beds a year</t>
        </is>
      </c>
      <c r="B12" s="19">
        <f>MIN(press_sheets_day/sheets_per_bed,cnc_rate,assembly_ceiling)*days_per_week*weeks_per_year</f>
        <v/>
      </c>
      <c r="C12" s="11" t="inlineStr">
        <is>
          <t>The ceiling on the same equipment.</t>
        </is>
      </c>
    </row>
    <row r="13">
      <c r="A13" s="7" t="inlineStr">
        <is>
          <t>A plant's first year</t>
        </is>
      </c>
      <c r="B13" s="19">
        <f>first_year_per_plant</f>
        <v/>
      </c>
      <c r="C13" s="11" t="inlineStr">
        <is>
          <t>The ramp we promise in Q6.</t>
        </is>
      </c>
    </row>
    <row r="14">
      <c r="A14" s="7" t="inlineStr">
        <is>
          <t>Both plants, first year</t>
        </is>
      </c>
      <c r="B14" s="19">
        <f>first_year_per_plant*plants</f>
        <v/>
      </c>
      <c r="C14" s="11" t="inlineStr"/>
    </row>
    <row r="15">
      <c r="A15" s="7" t="inlineStr"/>
      <c r="C15" s="11" t="inlineStr"/>
    </row>
    <row r="16">
      <c r="A16" s="7" t="inlineStr">
        <is>
          <t>Days to make the target</t>
        </is>
      </c>
      <c r="B16" s="19">
        <f>ROUNDUP(bed_target/MIN(press_sheets_day/sheets_per_bed,cnc_rate,assembly_ceiling),0)</f>
        <v/>
      </c>
      <c r="C16" s="11" t="inlineStr">
        <is>
          <t>Before downtime, at the binding rate.</t>
        </is>
      </c>
    </row>
    <row r="17">
      <c r="A17" s="7" t="inlineStr">
        <is>
          <t>Shred needed for the target</t>
        </is>
      </c>
      <c r="B17" s="19">
        <f>bed_target*kg_pressed/1000</f>
        <v/>
      </c>
      <c r="C17" s="11" t="inlineStr">
        <is>
          <t>Tonnes through the press.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8" customWidth="1" min="3" max="3"/>
    <col width="18" customWidth="1" min="4" max="4"/>
    <col width="18" customWidth="1" min="5" max="5"/>
    <col width="52" customWidth="1" min="6" max="6"/>
  </cols>
  <sheetData>
    <row r="1">
      <c r="A1" s="1" t="inlineStr">
        <is>
          <t>The four impact areas</t>
        </is>
      </c>
    </row>
    <row r="2">
      <c r="A2" s="2" t="inlineStr">
        <is>
          <t>Per bed, at one plant's first year and at the ceiling. Health is the reason the hardware exists and is never a claimed outcome.</t>
        </is>
      </c>
    </row>
    <row r="4">
      <c r="A4" s="6" t="inlineStr">
        <is>
          <t>Area</t>
        </is>
      </c>
      <c r="B4" s="6" t="inlineStr">
        <is>
          <t>Unit</t>
        </is>
      </c>
      <c r="C4" s="6" t="inlineStr">
        <is>
          <t>Per bed</t>
        </is>
      </c>
      <c r="D4" s="6" t="inlineStr">
        <is>
          <t>At 200 beds</t>
        </is>
      </c>
      <c r="E4" s="6" t="inlineStr">
        <is>
          <t>At the ceiling</t>
        </is>
      </c>
      <c r="F4" s="6" t="inlineStr">
        <is>
          <t>Where the claim stops</t>
        </is>
      </c>
    </row>
    <row r="5" ht="28" customHeight="1">
      <c r="A5" s="13" t="inlineStr">
        <is>
          <t>Recycling</t>
        </is>
      </c>
      <c r="B5" s="7" t="inlineStr">
        <is>
          <t>kg pressed</t>
        </is>
      </c>
      <c r="C5" s="20">
        <f>kg_pressed</f>
        <v/>
      </c>
      <c r="D5" s="20">
        <f>kg_pressed*first_year_per_plant</f>
        <v/>
      </c>
      <c r="E5" s="20">
        <f>kg_pressed*'Capacity'!B12</f>
        <v/>
      </c>
      <c r="F5" s="11" t="inlineStr">
        <is>
          <t>Design mass is not measured diversion. Weigh feedstock, accepted parts, offcuts and waste per batch.</t>
        </is>
      </c>
    </row>
    <row r="6" ht="28" customHeight="1">
      <c r="A6" s="13" t="inlineStr">
        <is>
          <t>Recycling</t>
        </is>
      </c>
      <c r="B6" s="7" t="inlineStr">
        <is>
          <t>kg in the beds</t>
        </is>
      </c>
      <c r="C6" s="20">
        <f>kg_in_bed</f>
        <v/>
      </c>
      <c r="D6" s="20">
        <f>kg_in_bed*first_year_per_plant</f>
        <v/>
      </c>
      <c r="E6" s="20">
        <f>kg_in_bed*'Capacity'!B12</f>
        <v/>
      </c>
      <c r="F6" s="11" t="inlineStr">
        <is>
          <t>The difference between the two rows is offcut or loss until yield is measured.</t>
        </is>
      </c>
    </row>
    <row r="7" ht="28" customHeight="1">
      <c r="A7" s="13" t="inlineStr">
        <is>
          <t>Health</t>
        </is>
      </c>
      <c r="B7" s="7" t="inlineStr">
        <is>
          <t>people off the floor</t>
        </is>
      </c>
      <c r="C7" s="20" t="n">
        <v>1</v>
      </c>
      <c r="D7" s="20">
        <f>first_year_per_plant</f>
        <v/>
      </c>
      <c r="E7" s="20">
        <f>'Capacity'!B12</f>
        <v/>
      </c>
      <c r="F7" s="11" t="inlineStr">
        <is>
          <t>Scabies and rheumatic heart disease are why the hardware exists. No clinical outcome is claimed.</t>
        </is>
      </c>
    </row>
    <row r="8" ht="28" customHeight="1">
      <c r="A8" s="13" t="inlineStr">
        <is>
          <t>Employment</t>
        </is>
      </c>
      <c r="B8" s="7" t="inlineStr">
        <is>
          <t>hours of paid making</t>
        </is>
      </c>
      <c r="C8" s="20">
        <f>hours_per_bed</f>
        <v/>
      </c>
      <c r="D8" s="20">
        <f>hours_per_bed*first_year_per_plant</f>
        <v/>
      </c>
      <c r="E8" s="20">
        <f>hours_per_bed*'Capacity'!B12</f>
        <v/>
      </c>
      <c r="F8" s="11" t="inlineStr">
        <is>
          <t>Report actual paid hours and payments. The legacy 4.8 hours a bed is comparison only.</t>
        </is>
      </c>
    </row>
    <row r="9" ht="28" customHeight="1">
      <c r="A9" s="13" t="inlineStr">
        <is>
          <t>Employment</t>
        </is>
      </c>
      <c r="B9" s="7" t="inlineStr">
        <is>
          <t>AUD of wage</t>
        </is>
      </c>
      <c r="C9" s="20">
        <f>wage_per_bed</f>
        <v/>
      </c>
      <c r="D9" s="20">
        <f>wage_per_bed*first_year_per_plant</f>
        <v/>
      </c>
      <c r="E9" s="20">
        <f>wage_per_bed*'Capacity'!B12</f>
        <v/>
      </c>
      <c r="F9" s="11" t="inlineStr">
        <is>
          <t>Inside the cost to make, not on top of it.</t>
        </is>
      </c>
    </row>
    <row r="10" ht="28" customHeight="1">
      <c r="A10" s="13" t="inlineStr">
        <is>
          <t>Community enterprise</t>
        </is>
      </c>
      <c r="B10" s="7" t="inlineStr">
        <is>
          <t>AUD kept on sale</t>
        </is>
      </c>
      <c r="C10" s="20">
        <f>price*community_keeps</f>
        <v/>
      </c>
      <c r="D10" s="20">
        <f>price*community_keeps*first_year_per_plant</f>
        <v/>
      </c>
      <c r="E10" s="20">
        <f>price*community_keeps*'Capacity'!B12</f>
        <v/>
      </c>
      <c r="F10" s="11" t="inlineStr">
        <is>
          <t>Only if the community sells the bed. Ownership is a pathway until rights and transfers are evidenced.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6" customWidth="1" min="3" max="3"/>
    <col width="16" customWidth="1" min="4" max="4"/>
    <col width="16" customWidth="1" min="5" max="5"/>
    <col width="62" customWidth="1" min="6" max="6"/>
  </cols>
  <sheetData>
    <row r="1">
      <c r="A1" s="1" t="inlineStr">
        <is>
          <t>Every funder line</t>
        </is>
      </c>
    </row>
    <row r="2">
      <c r="A2" s="2" t="inlineStr">
        <is>
          <t>Secured is zero. An invitation is not an award and a conversation is not an invitation.</t>
        </is>
      </c>
    </row>
    <row r="4">
      <c r="A4" s="6" t="inlineStr">
        <is>
          <t>Funder</t>
        </is>
      </c>
      <c r="B4" s="6" t="inlineStr">
        <is>
          <t>Type</t>
        </is>
      </c>
      <c r="C4" s="6" t="inlineStr">
        <is>
          <t>Amount</t>
        </is>
      </c>
      <c r="D4" s="6" t="inlineStr">
        <is>
          <t>Beds it buys</t>
        </is>
      </c>
      <c r="E4" s="6" t="inlineStr">
        <is>
          <t>Stage</t>
        </is>
      </c>
      <c r="F4" s="6" t="inlineStr">
        <is>
          <t>Condition and next evidence</t>
        </is>
      </c>
    </row>
    <row r="5" ht="26" customHeight="1">
      <c r="A5" s="7" t="inlineStr">
        <is>
          <t>QBE Foundation</t>
        </is>
      </c>
      <c r="B5" s="9" t="inlineStr">
        <is>
          <t>Grant</t>
        </is>
      </c>
      <c r="C5" s="16">
        <f>plants*plant_allowance</f>
        <v/>
      </c>
      <c r="E5" s="9" t="inlineStr">
        <is>
          <t>Application</t>
        </is>
      </c>
      <c r="F5" s="11" t="inlineStr">
        <is>
          <t>Closes 25 Sep noon. Outcome 23 Oct. Pre-conditions 13 Nov. Builds plants, buys no beds.</t>
        </is>
      </c>
    </row>
    <row r="6" ht="26" customHeight="1">
      <c r="A6" s="7" t="inlineStr">
        <is>
          <t>Tim Fairfax Family Foundation</t>
        </is>
      </c>
      <c r="B6" s="9" t="inlineStr">
        <is>
          <t>Grant</t>
        </is>
      </c>
      <c r="C6" s="16" t="n">
        <v>100000</v>
      </c>
      <c r="D6" s="21">
        <f>tff_beds</f>
        <v/>
      </c>
      <c r="E6" s="9" t="inlineStr">
        <is>
          <t>Invitation</t>
        </is>
      </c>
      <c r="F6" s="11" t="inlineStr">
        <is>
          <t>$300,000 over three years. Operating support, unrestricted. Due 9 Oct. Board late November.</t>
        </is>
      </c>
    </row>
    <row r="7" ht="26" customHeight="1">
      <c r="A7" s="7" t="inlineStr">
        <is>
          <t>Brian M. Davis Charitable Foundation</t>
        </is>
      </c>
      <c r="B7" s="9" t="inlineStr">
        <is>
          <t>Grant</t>
        </is>
      </c>
      <c r="C7" s="16" t="n">
        <v>100000</v>
      </c>
      <c r="D7" s="21">
        <f>bmd_beds</f>
        <v/>
      </c>
      <c r="E7" s="9" t="inlineStr">
        <is>
          <t>Invitation</t>
        </is>
      </c>
      <c r="F7" s="11" t="inlineStr">
        <is>
          <t>Due 25 Sep. Board 19 Nov. Pays only once all project funding is confirmed, per the budget template B16.</t>
        </is>
      </c>
    </row>
    <row r="8" ht="26" customHeight="1">
      <c r="A8" s="7" t="inlineStr">
        <is>
          <t>Snow Foundation</t>
        </is>
      </c>
      <c r="B8" s="9" t="inlineStr">
        <is>
          <t>Grant</t>
        </is>
      </c>
      <c r="C8" s="16" t="n">
        <v>100000</v>
      </c>
      <c r="D8" s="21">
        <f>snow_beds</f>
        <v/>
      </c>
      <c r="E8" s="9" t="inlineStr">
        <is>
          <t>To ask</t>
        </is>
      </c>
      <c r="F8" s="11" t="inlineStr">
        <is>
          <t>Ben, 10 Sep: an ask shaped like Brian M. Davis, counted as bed money. Snow was 57% of last year's receipts.</t>
        </is>
      </c>
    </row>
    <row r="9" ht="26" customHeight="1">
      <c r="A9" s="7" t="inlineStr">
        <is>
          <t>ALIVE, University of Melbourne</t>
        </is>
      </c>
      <c r="B9" s="9" t="inlineStr">
        <is>
          <t>Paid</t>
        </is>
      </c>
      <c r="C9" s="16" t="n">
        <v>75000</v>
      </c>
      <c r="D9" s="21">
        <f>alive_beds</f>
        <v/>
      </c>
      <c r="E9" s="9" t="inlineStr">
        <is>
          <t>Received</t>
        </is>
      </c>
      <c r="F9" s="11" t="inlineStr">
        <is>
          <t>Already paid. Outside the target. The reckoning records more received than these beds.</t>
        </is>
      </c>
    </row>
    <row r="10" ht="26" customHeight="1">
      <c r="A10" s="7" t="inlineStr">
        <is>
          <t>Sefa Backing the Bold</t>
        </is>
      </c>
      <c r="B10" s="9" t="inlineStr">
        <is>
          <t>Loan</t>
        </is>
      </c>
      <c r="C10" s="16">
        <f>loan_amount</f>
        <v/>
      </c>
      <c r="E10" s="9" t="inlineStr">
        <is>
          <t>Discussion</t>
        </is>
      </c>
      <c r="F10" s="11" t="inlineStr">
        <is>
          <t>No EOI sent. Our number, not Sefa's. 7% over five years.</t>
        </is>
      </c>
    </row>
    <row r="11" ht="26" customHeight="1">
      <c r="A11" s="7" t="inlineStr">
        <is>
          <t>Oonchiumpa, DEWR</t>
        </is>
      </c>
      <c r="B11" s="9" t="inlineStr">
        <is>
          <t>Grant</t>
        </is>
      </c>
      <c r="C11" s="16" t="n">
        <v>150000</v>
      </c>
      <c r="E11" s="9" t="inlineStr">
        <is>
          <t>Offer letter</t>
        </is>
      </c>
      <c r="F11" s="11" t="inlineStr">
        <is>
          <t>Alice Springs plant only, pass-through. Outside every scenario.</t>
        </is>
      </c>
    </row>
    <row r="12" ht="26" customHeight="1">
      <c r="A12" s="7" t="inlineStr">
        <is>
          <t>NIAA via Oonchiumpa</t>
        </is>
      </c>
      <c r="B12" s="9" t="inlineStr">
        <is>
          <t>Grant</t>
        </is>
      </c>
      <c r="C12" s="16" t="n">
        <v>150000</v>
      </c>
      <c r="E12" s="9" t="inlineStr">
        <is>
          <t>Discussion</t>
        </is>
      </c>
      <c r="F12" s="11" t="inlineStr">
        <is>
          <t>Alice Springs plant only, pass-through. Outside every scenario.</t>
        </is>
      </c>
    </row>
    <row r="13" ht="26" customHeight="1">
      <c r="A13" s="7" t="inlineStr">
        <is>
          <t>Dusseldorp</t>
        </is>
      </c>
      <c r="B13" s="9" t="inlineStr">
        <is>
          <t>Grant</t>
        </is>
      </c>
      <c r="C13" s="16" t="n">
        <v>0</v>
      </c>
      <c r="E13" s="9" t="inlineStr">
        <is>
          <t>Discussion</t>
        </is>
      </c>
      <c r="F13" s="11" t="inlineStr">
        <is>
          <t>No Goods ask in email. The $15,000 in June was CONTAINED.</t>
        </is>
      </c>
    </row>
    <row r="14" ht="26" customHeight="1">
      <c r="A14" s="7" t="inlineStr">
        <is>
          <t>Paul Ramsay and Atlassian</t>
        </is>
      </c>
      <c r="B14" s="9" t="inlineStr">
        <is>
          <t>Loan</t>
        </is>
      </c>
      <c r="C14" s="16" t="n">
        <v>0</v>
      </c>
      <c r="E14" s="9" t="inlineStr">
        <is>
          <t>Discussion</t>
        </is>
      </c>
      <c r="F14" s="11" t="inlineStr">
        <is>
          <t>Announced 7 Sep. No approach made.</t>
        </is>
      </c>
    </row>
    <row r="15" ht="26" customHeight="1">
      <c r="A15" s="7" t="inlineStr">
        <is>
          <t>Minderoo</t>
        </is>
      </c>
      <c r="B15" s="9" t="inlineStr">
        <is>
          <t>Grant</t>
        </is>
      </c>
      <c r="C15" s="16" t="n">
        <v>0</v>
      </c>
      <c r="E15" s="9" t="inlineStr">
        <is>
          <t>Closed</t>
        </is>
      </c>
      <c r="F15" s="11" t="inlineStr">
        <is>
          <t>Paused 14 May. Not a current prospect.</t>
        </is>
      </c>
    </row>
    <row r="17">
      <c r="A17" s="13" t="inlineStr">
        <is>
          <t>Secured today</t>
        </is>
      </c>
      <c r="C17" s="17" t="n">
        <v>0</v>
      </c>
      <c r="F17" s="9" t="inlineStr">
        <is>
          <t>No signed commitment with a satisfied condition.</t>
        </is>
      </c>
    </row>
    <row r="18">
      <c r="A18" s="13" t="inlineStr">
        <is>
          <t>Beds funded against the target</t>
        </is>
      </c>
      <c r="C18" s="22">
        <f>tff_beds+bmd_beds+snow_beds</f>
        <v/>
      </c>
      <c r="F18" s="9" t="inlineStr">
        <is>
          <t>If every invited ask lands.</t>
        </is>
      </c>
    </row>
    <row r="19">
      <c r="A19" s="13" t="inlineStr">
        <is>
          <t>Beds still to find</t>
        </is>
      </c>
      <c r="C19" s="22">
        <f>MAX(0,bed_target-(tff_beds+bmd_beds+snow_beds))</f>
        <v/>
      </c>
      <c r="F19" s="9" t="inlineStr"/>
    </row>
    <row r="20">
      <c r="A20" s="13" t="inlineStr">
        <is>
          <t>Bed money still to find</t>
        </is>
      </c>
      <c r="C20" s="17">
        <f>MAX(0,bed_target-(tff_beds+bmd_beds+snow_beds))*price</f>
        <v/>
      </c>
      <c r="F20" s="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52" customWidth="1" min="8" max="8"/>
  </cols>
  <sheetData>
    <row r="1">
      <c r="A1" s="1" t="inlineStr">
        <is>
          <t>Five cases</t>
        </is>
      </c>
    </row>
    <row r="2">
      <c r="A2" s="2" t="inlineStr">
        <is>
          <t>Read straight out of the master. Receipts are hypothetical and none of them is secured.</t>
        </is>
      </c>
    </row>
    <row r="4">
      <c r="A4" s="6" t="inlineStr">
        <is>
          <t>Case</t>
        </is>
      </c>
      <c r="B4" s="6" t="inlineStr">
        <is>
          <t>QBE</t>
        </is>
      </c>
      <c r="C4" s="6" t="inlineStr">
        <is>
          <t>Loan</t>
        </is>
      </c>
      <c r="D4" s="6" t="inlineStr">
        <is>
          <t>Beds</t>
        </is>
      </c>
      <c r="E4" s="6" t="inlineStr">
        <is>
          <t>Priced spend</t>
        </is>
      </c>
      <c r="F4" s="6" t="inlineStr">
        <is>
          <t>Receipts</t>
        </is>
      </c>
      <c r="G4" s="6" t="inlineStr">
        <is>
          <t>Peak cash need</t>
        </is>
      </c>
      <c r="H4" s="6" t="inlineStr">
        <is>
          <t>Interpretation</t>
        </is>
      </c>
    </row>
    <row r="5">
      <c r="A5" s="13" t="inlineStr">
        <is>
          <t>Full</t>
        </is>
      </c>
      <c r="B5" s="16" t="n">
        <v>300000</v>
      </c>
      <c r="C5" s="16" t="n">
        <v>200000</v>
      </c>
      <c r="D5" s="21" t="n">
        <v>400</v>
      </c>
      <c r="E5" s="16" t="n">
        <v>763084.33</v>
      </c>
      <c r="F5" s="16" t="n">
        <v>700000</v>
      </c>
      <c r="G5" s="16" t="n">
        <v>110607.21</v>
      </c>
      <c r="H5" s="11" t="inlineStr">
        <is>
          <t>Capacity-constrained initial stock. Cases!A6.</t>
        </is>
      </c>
    </row>
    <row r="6">
      <c r="A6" s="13" t="inlineStr">
        <is>
          <t>Smaller, one plant</t>
        </is>
      </c>
      <c r="B6" s="16" t="n">
        <v>150000</v>
      </c>
      <c r="C6" s="16" t="n">
        <v>100000</v>
      </c>
      <c r="D6" s="21" t="n">
        <v>400</v>
      </c>
      <c r="E6" s="16" t="n">
        <v>613084.33</v>
      </c>
      <c r="F6" s="16" t="n">
        <v>450000</v>
      </c>
      <c r="G6" s="16" t="n">
        <v>186845.77</v>
      </c>
      <c r="H6" s="11" t="inlineStr">
        <is>
          <t>Stages capital, keeps the stock target. Peak need is higher than Full.</t>
        </is>
      </c>
    </row>
    <row r="7">
      <c r="A7" s="13" t="inlineStr">
        <is>
          <t>No QBE</t>
        </is>
      </c>
      <c r="B7" s="16" t="n">
        <v>0</v>
      </c>
      <c r="C7" s="16" t="n">
        <v>200000</v>
      </c>
      <c r="D7" s="21" t="n">
        <v>400</v>
      </c>
      <c r="E7" s="16" t="n">
        <v>763084.33</v>
      </c>
      <c r="F7" s="16" t="n">
        <v>400000</v>
      </c>
      <c r="G7" s="16" t="n">
        <v>410607.21</v>
      </c>
      <c r="H7" s="11" t="inlineStr">
        <is>
          <t>A stress test, not permission to spend unfunded money.</t>
        </is>
      </c>
    </row>
    <row r="8">
      <c r="A8" s="13" t="inlineStr">
        <is>
          <t>Receipts three months late</t>
        </is>
      </c>
      <c r="B8" s="16" t="n">
        <v>300000</v>
      </c>
      <c r="C8" s="16" t="n">
        <v>200000</v>
      </c>
      <c r="D8" s="21" t="n">
        <v>400</v>
      </c>
      <c r="E8" s="16" t="n">
        <v>763084.33</v>
      </c>
      <c r="F8" s="16" t="n">
        <v>700000</v>
      </c>
      <c r="G8" s="16" t="n">
        <v>479488.63</v>
      </c>
      <c r="H8" s="11" t="inlineStr">
        <is>
          <t>Same money, later. Peak need more than quadruples.</t>
        </is>
      </c>
    </row>
    <row r="9">
      <c r="A9" s="13" t="inlineStr">
        <is>
          <t>Half the Goods sales</t>
        </is>
      </c>
      <c r="B9" s="16" t="n">
        <v>300000</v>
      </c>
      <c r="C9" s="16" t="n">
        <v>200000</v>
      </c>
      <c r="D9" s="21" t="n">
        <v>400</v>
      </c>
      <c r="E9" s="16" t="n">
        <v>763084.33</v>
      </c>
      <c r="F9" s="16" t="n">
        <v>700000</v>
      </c>
      <c r="G9" s="16" t="n">
        <v>110607.21</v>
      </c>
      <c r="H9" s="11" t="inlineStr">
        <is>
          <t>Direct Goods sales are already zero, so halving them changes nothing.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56" customWidth="1" min="5" max="5"/>
  </cols>
  <sheetData>
    <row r="1">
      <c r="A1" s="1" t="inlineStr">
        <is>
          <t>Who pays for what</t>
        </is>
      </c>
    </row>
    <row r="2">
      <c r="A2" s="2" t="inlineStr">
        <is>
          <t>Goods funds initial stock, delivery and agreed initial support, plus the plant capital. Community organisations fund local operations and keep their sales.</t>
        </is>
      </c>
    </row>
    <row r="4">
      <c r="A4" s="6" t="inlineStr">
        <is>
          <t>Line</t>
        </is>
      </c>
      <c r="B4" s="6" t="inlineStr">
        <is>
          <t>Goods</t>
        </is>
      </c>
      <c r="C4" s="6" t="inlineStr">
        <is>
          <t>Community</t>
        </is>
      </c>
      <c r="D4" s="6" t="inlineStr">
        <is>
          <t>Combined</t>
        </is>
      </c>
      <c r="E4" s="6" t="inlineStr">
        <is>
          <t>Boundary</t>
        </is>
      </c>
    </row>
    <row r="5">
      <c r="A5" s="7" t="inlineStr">
        <is>
          <t>Plant capital</t>
        </is>
      </c>
      <c r="B5" s="23" t="n">
        <v>300000</v>
      </c>
      <c r="C5" s="23" t="n">
        <v>0</v>
      </c>
      <c r="D5" s="23" t="n">
        <v>300000</v>
      </c>
      <c r="E5" s="11" t="inlineStr">
        <is>
          <t>The QBE request. Asset title and transfer to agree.</t>
        </is>
      </c>
    </row>
    <row r="6">
      <c r="A6" s="7" t="inlineStr">
        <is>
          <t>Making and freight</t>
        </is>
      </c>
      <c r="B6" s="23" t="n">
        <v>125534.33</v>
      </c>
      <c r="C6" s="23" t="n">
        <v>0</v>
      </c>
      <c r="D6" s="23" t="n">
        <v>125534.33</v>
      </c>
      <c r="E6" s="11" t="inlineStr">
        <is>
          <t>Capacity-constrained forecast.</t>
        </is>
      </c>
    </row>
    <row r="7">
      <c r="A7" s="7" t="inlineStr">
        <is>
          <t>Facility fixed costs</t>
        </is>
      </c>
      <c r="B7" s="23" t="n">
        <v>35350</v>
      </c>
      <c r="C7" s="23" t="n">
        <v>420700</v>
      </c>
      <c r="D7" s="23" t="n">
        <v>456050</v>
      </c>
      <c r="E7" s="11" t="inlineStr">
        <is>
          <t>Community facility wages, rent and training sit in the community operating plan.</t>
        </is>
      </c>
    </row>
    <row r="8">
      <c r="A8" s="7" t="inlineStr">
        <is>
          <t>Youth support</t>
        </is>
      </c>
      <c r="B8" s="23" t="n">
        <v>40000</v>
      </c>
      <c r="C8" s="23" t="n">
        <v>0</v>
      </c>
      <c r="D8" s="23" t="n">
        <v>40000</v>
      </c>
      <c r="E8" s="11" t="inlineStr">
        <is>
          <t>Four communities at $10,000 facilitation each. None named yet.</t>
        </is>
      </c>
    </row>
    <row r="9">
      <c r="A9" s="7" t="inlineStr">
        <is>
          <t>Shared network</t>
        </is>
      </c>
      <c r="B9" s="23" t="n">
        <v>262200</v>
      </c>
      <c r="C9" s="23" t="n">
        <v>0</v>
      </c>
      <c r="D9" s="23" t="n">
        <v>262200</v>
      </c>
      <c r="E9" s="11" t="inlineStr">
        <is>
          <t>Includes a known cost-overlap question.</t>
        </is>
      </c>
    </row>
    <row r="10">
      <c r="A10" s="13" t="inlineStr">
        <is>
          <t>Priced spending</t>
        </is>
      </c>
      <c r="B10" s="17" t="n">
        <v>763084.33</v>
      </c>
      <c r="C10" s="17" t="n">
        <v>420700</v>
      </c>
      <c r="D10" s="17" t="n">
        <v>1183784.33</v>
      </c>
      <c r="E10" s="11" t="inlineStr">
        <is>
          <t>Goods overheads are not automatically the incremental raise.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46" customWidth="1" min="5" max="5"/>
  </cols>
  <sheetData>
    <row r="1">
      <c r="A1" s="1" t="inlineStr">
        <is>
          <t>The annual roll-up</t>
        </is>
      </c>
    </row>
    <row r="2">
      <c r="A2" s="2" t="inlineStr">
        <is>
          <t>Year one of the selected case. Negative forecast cash is an unfunded gap, never an approved overdraft.</t>
        </is>
      </c>
    </row>
    <row r="4">
      <c r="A4" s="6" t="inlineStr">
        <is>
          <t>Line</t>
        </is>
      </c>
      <c r="B4" s="6" t="inlineStr">
        <is>
          <t>Year 1</t>
        </is>
      </c>
      <c r="C4" s="6" t="inlineStr">
        <is>
          <t>Year 2</t>
        </is>
      </c>
      <c r="D4" s="6" t="inlineStr">
        <is>
          <t>Year 3</t>
        </is>
      </c>
      <c r="E4" s="6" t="inlineStr">
        <is>
          <t>Basis</t>
        </is>
      </c>
    </row>
    <row r="5">
      <c r="A5" s="7" t="inlineStr">
        <is>
          <t>Grant income</t>
        </is>
      </c>
      <c r="B5" s="16" t="n">
        <v>500000</v>
      </c>
      <c r="C5" s="16" t="n">
        <v>100000</v>
      </c>
      <c r="D5" s="16" t="n">
        <v>100000</v>
      </c>
      <c r="E5" s="11" t="inlineStr">
        <is>
          <t>Statements!B8. Includes possible grants.</t>
        </is>
      </c>
    </row>
    <row r="6">
      <c r="A6" s="7" t="inlineStr">
        <is>
          <t>Goods invoiced</t>
        </is>
      </c>
      <c r="B6" s="16" t="n">
        <v>0</v>
      </c>
      <c r="C6" s="16" t="n">
        <v>0</v>
      </c>
      <c r="D6" s="16" t="n">
        <v>0</v>
      </c>
      <c r="E6" s="11" t="inlineStr">
        <is>
          <t>Direct Goods sales are zero in the current case.</t>
        </is>
      </c>
    </row>
    <row r="7">
      <c r="A7" s="7" t="inlineStr">
        <is>
          <t>Making expense</t>
        </is>
      </c>
      <c r="B7" s="16" t="n">
        <v>91549.33</v>
      </c>
      <c r="C7" s="16" t="n">
        <v>118072.5</v>
      </c>
      <c r="D7" s="16" t="n">
        <v>118072.5</v>
      </c>
      <c r="E7" s="11" t="inlineStr"/>
    </row>
    <row r="8">
      <c r="A8" s="7" t="inlineStr">
        <is>
          <t>Freight</t>
        </is>
      </c>
      <c r="B8" s="16" t="n">
        <v>40000</v>
      </c>
      <c r="C8" s="16" t="n">
        <v>50000</v>
      </c>
      <c r="D8" s="16" t="n">
        <v>50000</v>
      </c>
      <c r="E8" s="11" t="inlineStr"/>
    </row>
    <row r="9">
      <c r="A9" s="7" t="inlineStr">
        <is>
          <t>Network costs</t>
        </is>
      </c>
      <c r="B9" s="16" t="n">
        <v>262200</v>
      </c>
      <c r="C9" s="16" t="n">
        <v>262200</v>
      </c>
      <c r="D9" s="16" t="n">
        <v>262200</v>
      </c>
      <c r="E9" s="11" t="inlineStr"/>
    </row>
    <row r="10">
      <c r="A10" s="7" t="inlineStr">
        <is>
          <t>Facility costs</t>
        </is>
      </c>
      <c r="B10" s="16" t="n">
        <v>35350</v>
      </c>
      <c r="C10" s="16" t="n">
        <v>35350</v>
      </c>
      <c r="D10" s="16" t="n">
        <v>35350</v>
      </c>
      <c r="E10" s="11" t="inlineStr"/>
    </row>
    <row r="11">
      <c r="A11" s="7" t="inlineStr">
        <is>
          <t>Youth support</t>
        </is>
      </c>
      <c r="B11" s="16" t="n">
        <v>40000</v>
      </c>
      <c r="C11" s="16" t="n">
        <v>0</v>
      </c>
      <c r="D11" s="16" t="n">
        <v>0</v>
      </c>
      <c r="E11" s="11" t="inlineStr"/>
    </row>
    <row r="12">
      <c r="A12" s="7" t="inlineStr">
        <is>
          <t>Depreciation</t>
        </is>
      </c>
      <c r="B12" s="16" t="n">
        <v>30000</v>
      </c>
      <c r="C12" s="16" t="n">
        <v>30000</v>
      </c>
      <c r="D12" s="16" t="n">
        <v>30000</v>
      </c>
      <c r="E12" s="11" t="inlineStr"/>
    </row>
    <row r="13">
      <c r="A13" s="7" t="inlineStr">
        <is>
          <t>Loan interest</t>
        </is>
      </c>
      <c r="B13" s="16" t="n">
        <v>12903.28</v>
      </c>
      <c r="C13" s="16" t="n">
        <v>10400.63</v>
      </c>
      <c r="D13" s="16" t="n">
        <v>7717.06</v>
      </c>
      <c r="E13" s="11" t="inlineStr"/>
    </row>
    <row r="14">
      <c r="A14" s="13" t="inlineStr">
        <is>
          <t>Profit before tax</t>
        </is>
      </c>
      <c r="B14" s="16" t="n">
        <v>-12002.62</v>
      </c>
      <c r="C14" s="16" t="n">
        <v>-406023.13</v>
      </c>
      <c r="D14" s="16" t="n">
        <v>-403339.56</v>
      </c>
      <c r="E14" s="11" t="inlineStr">
        <is>
          <t>Includes possible grant income. Not a trading surplus.</t>
        </is>
      </c>
    </row>
    <row r="15">
      <c r="A15" s="13" t="inlineStr">
        <is>
          <t>Net cash movement</t>
        </is>
      </c>
      <c r="B15" s="16" t="n">
        <v>-110607.21</v>
      </c>
      <c r="C15" s="16" t="n">
        <v>-412942.88</v>
      </c>
      <c r="D15" s="16" t="n">
        <v>-412942.88</v>
      </c>
      <c r="E15" s="11" t="inlineStr"/>
    </row>
    <row r="16">
      <c r="A16" s="7" t="inlineStr">
        <is>
          <t>Planned beds within capacity</t>
        </is>
      </c>
      <c r="B16" s="21" t="n">
        <v>400</v>
      </c>
      <c r="C16" s="21" t="n">
        <v>1220</v>
      </c>
      <c r="D16" s="21" t="n">
        <v>1220</v>
      </c>
      <c r="E16" s="11" t="inlineStr">
        <is>
          <t>Statements!B68.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6" customWidth="1" min="3" max="3"/>
    <col width="14" customWidth="1" min="4" max="4"/>
    <col width="14" customWidth="1" min="5" max="5"/>
    <col width="14" customWidth="1" min="6" max="6"/>
    <col width="46" customWidth="1" min="7" max="7"/>
  </cols>
  <sheetData>
    <row r="1">
      <c r="A1" s="1" t="inlineStr">
        <is>
          <t>The sites</t>
        </is>
      </c>
    </row>
    <row r="2">
      <c r="A2" s="2" t="inlineStr">
        <is>
          <t>Witta exists. The two new plants are working choices and neither community has agreed to a build.</t>
        </is>
      </c>
    </row>
    <row r="4">
      <c r="A4" s="6" t="inlineStr">
        <is>
          <t>ID</t>
        </is>
      </c>
      <c r="B4" s="6" t="inlineStr">
        <is>
          <t>Site</t>
        </is>
      </c>
      <c r="C4" s="6" t="inlineStr">
        <is>
          <t>Route</t>
        </is>
      </c>
      <c r="D4" s="6" t="inlineStr">
        <is>
          <t>Year 1</t>
        </is>
      </c>
      <c r="E4" s="6" t="inlineStr">
        <is>
          <t>Year 2</t>
        </is>
      </c>
      <c r="F4" s="6" t="inlineStr">
        <is>
          <t>Year 3</t>
        </is>
      </c>
      <c r="G4" s="6" t="inlineStr">
        <is>
          <t>Note</t>
        </is>
      </c>
    </row>
    <row r="5" ht="26" customHeight="1">
      <c r="A5" s="9" t="inlineStr">
        <is>
          <t>WITTA</t>
        </is>
      </c>
      <c r="B5" s="7" t="inlineStr">
        <is>
          <t>Goods production facility at The Harvest</t>
        </is>
      </c>
      <c r="C5" s="9" t="inlineStr">
        <is>
          <t>Own sheets</t>
        </is>
      </c>
      <c r="D5" s="21" t="n">
        <v>400</v>
      </c>
      <c r="E5" s="21" t="n">
        <v>500</v>
      </c>
      <c r="F5" s="21" t="n">
        <v>500</v>
      </c>
      <c r="G5" s="11" t="inlineStr">
        <is>
          <t>Existing. Initial community trading stock is made here.</t>
        </is>
      </c>
    </row>
    <row r="6" ht="26" customHeight="1">
      <c r="A6" s="9" t="inlineStr">
        <is>
          <t>NEW1</t>
        </is>
      </c>
      <c r="B6" s="7" t="inlineStr">
        <is>
          <t>Palm Island, working choice</t>
        </is>
      </c>
      <c r="C6" s="9" t="inlineStr">
        <is>
          <t>Own sheets</t>
        </is>
      </c>
      <c r="D6" s="21" t="n">
        <v>0</v>
      </c>
      <c r="E6" s="21" t="n">
        <v>500</v>
      </c>
      <c r="F6" s="21" t="n">
        <v>500</v>
      </c>
      <c r="G6" s="11" t="inlineStr">
        <is>
          <t>Council, community and PICC have each asked. First beds about three months after funding.</t>
        </is>
      </c>
    </row>
    <row r="7" ht="26" customHeight="1">
      <c r="A7" s="9" t="inlineStr">
        <is>
          <t>NEW2</t>
        </is>
      </c>
      <c r="B7" s="7" t="inlineStr">
        <is>
          <t>Maningrida, working choice</t>
        </is>
      </c>
      <c r="C7" s="9" t="inlineStr">
        <is>
          <t>Own sheets</t>
        </is>
      </c>
      <c r="D7" s="21" t="n">
        <v>0</v>
      </c>
      <c r="E7" s="21" t="n">
        <v>500</v>
      </c>
      <c r="F7" s="21" t="n">
        <v>500</v>
      </c>
      <c r="G7" s="11" t="inlineStr">
        <is>
          <t>40 beds already built with us, pressed at Witta and assembled at Gamardi.</t>
        </is>
      </c>
    </row>
    <row r="8" ht="26" customHeight="1">
      <c r="A8" s="9" t="inlineStr">
        <is>
          <t>ALICE</t>
        </is>
      </c>
      <c r="B8" s="7" t="inlineStr">
        <is>
          <t>Alice Springs, through Oonchiumpa</t>
        </is>
      </c>
      <c r="C8" s="9" t="inlineStr">
        <is>
          <t>Own sheets</t>
        </is>
      </c>
      <c r="D8" s="21" t="n">
        <v>0</v>
      </c>
      <c r="E8" s="21" t="n">
        <v>0</v>
      </c>
      <c r="F8" s="21" t="n">
        <v>0</v>
      </c>
      <c r="G8" s="11" t="inlineStr">
        <is>
          <t>Funded by DEWR and NIAA. Outside this raise.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14" customWidth="1" min="3" max="3"/>
    <col width="62" customWidth="1" min="4" max="4"/>
  </cols>
  <sheetData>
    <row r="1">
      <c r="A1" s="1" t="inlineStr">
        <is>
          <t>Key figures, graded</t>
        </is>
      </c>
    </row>
    <row r="2">
      <c r="A2" s="2" t="inlineStr">
        <is>
          <t>Verified means the source was read. Modelled means calculated. Conflict means two sources disagree and a person must rule.</t>
        </is>
      </c>
    </row>
    <row r="4">
      <c r="A4" s="6" t="inlineStr">
        <is>
          <t>Claim</t>
        </is>
      </c>
      <c r="B4" s="6" t="inlineStr">
        <is>
          <t>Figure</t>
        </is>
      </c>
      <c r="C4" s="6" t="inlineStr">
        <is>
          <t>Grade</t>
        </is>
      </c>
      <c r="D4" s="6" t="inlineStr">
        <is>
          <t>Source</t>
        </is>
      </c>
    </row>
    <row r="5">
      <c r="A5" s="7" t="inlineStr">
        <is>
          <t>The QBE request</t>
        </is>
      </c>
      <c r="B5" s="13" t="inlineStr">
        <is>
          <t>$300,000</t>
        </is>
      </c>
      <c r="C5" s="24" t="inlineStr">
        <is>
          <t>Verified</t>
        </is>
      </c>
      <c r="D5" s="11" t="inlineStr">
        <is>
          <t>QBE!D14 and A54, Funding F01. Ben, 9 Sep 2026.</t>
        </is>
      </c>
    </row>
    <row r="6">
      <c r="A6" s="7" t="inlineStr">
        <is>
          <t>Funding secured to date</t>
        </is>
      </c>
      <c r="B6" s="13" t="inlineStr">
        <is>
          <t>$0</t>
        </is>
      </c>
      <c r="C6" s="24" t="inlineStr">
        <is>
          <t>Verified</t>
        </is>
      </c>
      <c r="D6" s="11" t="inlineStr">
        <is>
          <t>Funding!F19.</t>
        </is>
      </c>
    </row>
    <row r="7">
      <c r="A7" s="7" t="inlineStr">
        <is>
          <t>A bed at the factory door</t>
        </is>
      </c>
      <c r="B7" s="13" t="inlineStr">
        <is>
          <t>$750</t>
        </is>
      </c>
      <c r="C7" s="24" t="inlineStr">
        <is>
          <t>Verified</t>
        </is>
      </c>
      <c r="D7" s="11" t="inlineStr">
        <is>
          <t>Model!B22.</t>
        </is>
      </c>
    </row>
    <row r="8">
      <c r="A8" s="7" t="inlineStr">
        <is>
          <t>Cost to make a bed</t>
        </is>
      </c>
      <c r="B8" s="13" t="inlineStr">
        <is>
          <t>$276</t>
        </is>
      </c>
      <c r="C8" s="25" t="inlineStr">
        <is>
          <t>Modelled</t>
        </is>
      </c>
      <c r="D8" s="11" t="inlineStr">
        <is>
          <t>235.74 on the annual-staff basis plus the $40 assembly allowance.</t>
        </is>
      </c>
    </row>
    <row r="9">
      <c r="A9" s="7" t="inlineStr">
        <is>
          <t>Stays with Goods</t>
        </is>
      </c>
      <c r="B9" s="13" t="inlineStr">
        <is>
          <t>$474</t>
        </is>
      </c>
      <c r="C9" s="24" t="inlineStr">
        <is>
          <t>Verified</t>
        </is>
      </c>
      <c r="D9" s="11" t="inlineStr">
        <is>
          <t>Model!B24, derived.</t>
        </is>
      </c>
    </row>
    <row r="10">
      <c r="A10" s="7" t="inlineStr">
        <is>
          <t>Running the organisation</t>
        </is>
      </c>
      <c r="B10" s="13" t="inlineStr">
        <is>
          <t>$297,550</t>
        </is>
      </c>
      <c r="C10" s="24" t="inlineStr">
        <is>
          <t>Verified</t>
        </is>
      </c>
      <c r="D10" s="11" t="inlineStr">
        <is>
          <t>Model!B25.</t>
        </is>
      </c>
    </row>
    <row r="11">
      <c r="A11" s="7" t="inlineStr">
        <is>
          <t>Break-even on beds alone</t>
        </is>
      </c>
      <c r="B11" s="13" t="inlineStr">
        <is>
          <t>628 beds</t>
        </is>
      </c>
      <c r="C11" s="25" t="inlineStr">
        <is>
          <t>Modelled</t>
        </is>
      </c>
      <c r="D11" s="11" t="inlineStr">
        <is>
          <t>Model!B26, buyer pays freight. 796 if Goods carries it.</t>
        </is>
      </c>
    </row>
    <row r="12">
      <c r="A12" s="7" t="inlineStr">
        <is>
          <t>The press sets the pace</t>
        </is>
      </c>
      <c r="B12" s="13" t="inlineStr">
        <is>
          <t>3 beds a day</t>
        </is>
      </c>
      <c r="C12" s="24" t="inlineStr">
        <is>
          <t>Verified</t>
        </is>
      </c>
      <c r="D12" s="11" t="inlineStr">
        <is>
          <t>NM Play B46. CNC does 8.56 and assembly 5.</t>
        </is>
      </c>
    </row>
    <row r="13">
      <c r="A13" s="7" t="inlineStr">
        <is>
          <t>Shred pressed for one bed</t>
        </is>
      </c>
      <c r="B13" s="13" t="inlineStr">
        <is>
          <t>36 kg</t>
        </is>
      </c>
      <c r="C13" s="24" t="inlineStr">
        <is>
          <t>Verified</t>
        </is>
      </c>
      <c r="D13" s="11" t="inlineStr">
        <is>
          <t>NM Play B21. Leg sheet 21, tab sheet 15.</t>
        </is>
      </c>
    </row>
    <row r="14">
      <c r="A14" s="7" t="inlineStr">
        <is>
          <t>HDPE in a finished bed</t>
        </is>
      </c>
      <c r="B14" s="13" t="inlineStr">
        <is>
          <t>20 kg</t>
        </is>
      </c>
      <c r="C14" s="25" t="inlineStr">
        <is>
          <t>Modelled</t>
        </is>
      </c>
      <c r="D14" s="11" t="inlineStr">
        <is>
          <t>Design mass. NM Play B38. Definition conflict remains against D06's 40 kg.</t>
        </is>
      </c>
    </row>
    <row r="15">
      <c r="A15" s="7" t="inlineStr">
        <is>
          <t>Beds sold and paid, all time</t>
        </is>
      </c>
      <c r="B15" s="13" t="inlineStr">
        <is>
          <t>320, $343,481</t>
        </is>
      </c>
      <c r="C15" s="24" t="inlineStr">
        <is>
          <t>Verified</t>
        </is>
      </c>
      <c r="D15" s="11" t="inlineStr">
        <is>
          <t>Ten invoices.</t>
        </is>
      </c>
    </row>
    <row r="16">
      <c r="A16" s="7" t="inlineStr">
        <is>
          <t>Beds recorded as deployed</t>
        </is>
      </c>
      <c r="B16" s="13" t="inlineStr">
        <is>
          <t>540</t>
        </is>
      </c>
      <c r="C16" s="24" t="inlineStr">
        <is>
          <t>Verified</t>
        </is>
      </c>
      <c r="D16" s="11" t="inlineStr">
        <is>
          <t>Register check 8 Sep, all 609 rows, 11 communities.</t>
        </is>
      </c>
    </row>
    <row r="17">
      <c r="A17" s="7" t="inlineStr">
        <is>
          <t>Centrecorp, paid and delivered</t>
        </is>
      </c>
      <c r="B17" s="13" t="inlineStr">
        <is>
          <t>130</t>
        </is>
      </c>
      <c r="C17" s="24" t="inlineStr">
        <is>
          <t>Verified</t>
        </is>
      </c>
      <c r="D17" s="11" t="inlineStr">
        <is>
          <t>Outside the cumulative total until the overlap is reconciled.</t>
        </is>
      </c>
    </row>
    <row r="18">
      <c r="A18" s="7" t="inlineStr">
        <is>
          <t>Maningrida, delivered and paid</t>
        </is>
      </c>
      <c r="B18" s="13" t="inlineStr">
        <is>
          <t>40</t>
        </is>
      </c>
      <c r="C18" s="24" t="inlineStr">
        <is>
          <t>Verified</t>
        </is>
      </c>
      <c r="D18" s="11" t="inlineStr">
        <is>
          <t>Pressed at Witta, assembled at Gamardi.</t>
        </is>
      </c>
    </row>
    <row r="19">
      <c r="A19" s="7" t="inlineStr">
        <is>
          <t>FY26 whole ledger income</t>
        </is>
      </c>
      <c r="B19" s="13" t="inlineStr">
        <is>
          <t>$1,640,724</t>
        </is>
      </c>
      <c r="C19" s="24" t="inlineStr">
        <is>
          <t>Verified</t>
        </is>
      </c>
      <c r="D19" s="11" t="inlineStr">
        <is>
          <t>Model!B15, Xero accrual.</t>
        </is>
      </c>
    </row>
    <row r="20">
      <c r="A20" s="7" t="inlineStr">
        <is>
          <t>FY26 net before founder wages</t>
        </is>
      </c>
      <c r="B20" s="13" t="inlineStr">
        <is>
          <t>$167,970</t>
        </is>
      </c>
      <c r="C20" s="24" t="inlineStr">
        <is>
          <t>Verified</t>
        </is>
      </c>
      <c r="D20" s="11" t="inlineStr">
        <is>
          <t>Model!B17. Never call it a net loss.</t>
        </is>
      </c>
    </row>
    <row r="21">
      <c r="A21" s="7" t="inlineStr">
        <is>
          <t>FY26 Goods receipts</t>
        </is>
      </c>
      <c r="B21" s="13" t="inlineStr">
        <is>
          <t>$653,246</t>
        </is>
      </c>
      <c r="C21" s="24" t="inlineStr">
        <is>
          <t>Verified</t>
        </is>
      </c>
      <c r="D21" s="11" t="inlineStr">
        <is>
          <t>Model!B18.</t>
        </is>
      </c>
    </row>
    <row r="22">
      <c r="A22" s="7" t="inlineStr">
        <is>
          <t>Snow's share of those receipts</t>
        </is>
      </c>
      <c r="B22" s="13" t="inlineStr">
        <is>
          <t>$375,000, 57%</t>
        </is>
      </c>
      <c r="C22" s="26" t="inlineStr">
        <is>
          <t>Unverified</t>
        </is>
      </c>
      <c r="D22" s="11" t="inlineStr">
        <is>
          <t>Not traced to a cell. Needs the source before it goes to a funder.</t>
        </is>
      </c>
    </row>
    <row r="23">
      <c r="A23" s="7" t="inlineStr">
        <is>
          <t>A plant allowance</t>
        </is>
      </c>
      <c r="B23" s="13" t="inlineStr">
        <is>
          <t>$150,000</t>
        </is>
      </c>
      <c r="C23" s="25" t="inlineStr">
        <is>
          <t>Modelled</t>
        </is>
      </c>
      <c r="D23" s="11" t="inlineStr">
        <is>
          <t>Above the module high of $142,967, between $113,000 replicate and $207,450 turnkey.</t>
        </is>
      </c>
    </row>
    <row r="24">
      <c r="A24" s="7" t="inlineStr">
        <is>
          <t>Peak cash need, full case</t>
        </is>
      </c>
      <c r="B24" s="13" t="inlineStr">
        <is>
          <t>$110,607</t>
        </is>
      </c>
      <c r="C24" s="25" t="inlineStr">
        <is>
          <t>Modelled</t>
        </is>
      </c>
      <c r="D24" s="11" t="inlineStr">
        <is>
          <t>Cases!L6. Not the QBE request.</t>
        </is>
      </c>
    </row>
    <row r="25">
      <c r="A25" s="7" t="inlineStr">
        <is>
          <t>Unpriced cost lines</t>
        </is>
      </c>
      <c r="B25" s="13" t="inlineStr">
        <is>
          <t>12</t>
        </is>
      </c>
      <c r="C25" s="24" t="inlineStr">
        <is>
          <t>Verified</t>
        </is>
      </c>
      <c r="D25" s="11" t="inlineStr">
        <is>
          <t>QBE!D20.</t>
        </is>
      </c>
    </row>
    <row r="26">
      <c r="A26" s="7" t="inlineStr">
        <is>
          <t>Opening cash</t>
        </is>
      </c>
      <c r="B26" s="13" t="inlineStr">
        <is>
          <t>unknown</t>
        </is>
      </c>
      <c r="C26" s="26" t="inlineStr">
        <is>
          <t>Unverified</t>
        </is>
      </c>
      <c r="D26" s="11" t="inlineStr">
        <is>
          <t>Decision D10. Unknown is not zero.</t>
        </is>
      </c>
    </row>
    <row r="27">
      <c r="A27" s="7" t="inlineStr">
        <is>
          <t>Butterfly FY26 closing cash</t>
        </is>
      </c>
      <c r="B27" s="13" t="inlineStr">
        <is>
          <t>$4,041</t>
        </is>
      </c>
      <c r="C27" s="24" t="inlineStr">
        <is>
          <t>Verified</t>
        </is>
      </c>
      <c r="D27" s="11" t="inlineStr">
        <is>
          <t>Unaudited, declaration unsigned.</t>
        </is>
      </c>
    </row>
    <row r="28">
      <c r="A28" s="7" t="inlineStr">
        <is>
          <t>The community's share of a sale</t>
        </is>
      </c>
      <c r="B28" s="13" t="inlineStr">
        <is>
          <t>the full price</t>
        </is>
      </c>
      <c r="C28" s="24" t="inlineStr">
        <is>
          <t>Verified</t>
        </is>
      </c>
      <c r="D28" s="11" t="inlineStr">
        <is>
          <t>Ben, 10 Sep 2026. The 50% split is retired.</t>
        </is>
      </c>
    </row>
    <row r="29">
      <c r="A29" s="7" t="inlineStr">
        <is>
          <t>Capacity against the target</t>
        </is>
      </c>
      <c r="B29" s="13" t="inlineStr">
        <is>
          <t>360 or 400</t>
        </is>
      </c>
      <c r="C29" s="27" t="inlineStr">
        <is>
          <t>Conflict</t>
        </is>
      </c>
      <c r="D29" s="11" t="inlineStr">
        <is>
          <t>D17 says capacity is 360. Start!B7 says 400 supported.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2026-09-09T23:20:03Z</dcterms:created>
  <dcterms:modified xmlns:dcterms="http://purl.org/dc/terms/" xmlns:xsi="http://www.w3.org/2001/XMLSchema-instance" xsi:type="dcterms:W3CDTF">2026-09-09T23:20:03Z</dcterms:modified>
</cp:coreProperties>
</file>